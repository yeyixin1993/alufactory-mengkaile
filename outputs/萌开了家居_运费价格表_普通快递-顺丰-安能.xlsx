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费价格表" sheetId="1" state="visible" r:id="rId1"/>
    <sheet name="运费试算" sheetId="2" state="visible" r:id="rId2"/>
    <sheet name="计费说明" sheetId="3" state="visible" r:id="rId3"/>
  </sheets>
  <definedNames>
    <definedName name="_xlnm._FilterDatabase" localSheetId="0" hidden="1">'运费价格表'!$A$3:$P$35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FF2F5597"/>
      <sz val="15"/>
    </font>
    <font>
      <color rgb="FF9C6500"/>
      <sz val="9"/>
    </font>
    <font>
      <b val="1"/>
      <color rgb="FFFFFFFF"/>
    </font>
    <font>
      <b val="1"/>
      <color rgb="FF2F5597"/>
    </font>
    <font>
      <b val="1"/>
      <color rgb="FF9C6500"/>
    </font>
    <font>
      <b val="1"/>
    </font>
    <font>
      <b val="1"/>
      <color rgb="FF9C6500"/>
      <sz val="9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FDF0E8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7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3" borderId="1" pivotButton="0" quotePrefix="0" xfId="0"/>
    <xf numFmtId="164" fontId="0" fillId="4" borderId="1" pivotButton="0" quotePrefix="0" xfId="0"/>
    <xf numFmtId="164" fontId="0" fillId="5" borderId="1" pivotButton="0" quotePrefix="0" xfId="0"/>
    <xf numFmtId="0" fontId="5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left"/>
    </xf>
    <xf numFmtId="164" fontId="5" fillId="6" borderId="1" pivotButton="0" quotePrefix="0" xfId="0"/>
    <xf numFmtId="0" fontId="6" fillId="0" borderId="0" pivotButton="0" quotePrefix="0" xfId="0"/>
    <xf numFmtId="0" fontId="0" fillId="7" borderId="1" applyAlignment="1" pivotButton="0" quotePrefix="0" xfId="0">
      <alignment horizontal="center"/>
    </xf>
    <xf numFmtId="165" fontId="0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6" fillId="0" borderId="1" pivotButton="0" quotePrefix="0" xfId="0"/>
    <xf numFmtId="164" fontId="0" fillId="8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7" fillId="0" borderId="0" pivotButton="0" quotePrefix="0" xfId="0"/>
    <xf numFmtId="0" fontId="4" fillId="0" borderId="0" applyAlignment="1" pivotButton="0" quotePrefix="0" xfId="0">
      <alignment vertical="top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萌开了家居 运费价格表（普通快递·顺丰·安能）</t>
        </is>
      </c>
    </row>
    <row r="2">
      <c r="A2" s="2" t="inlineStr">
        <is>
          <t>数据来源：网站 constants.ts（SHIPPING_RATES / SHIPPING_RATES_SF / SHIPPING_RATES_AN），导出日期 2026-10-25；运费算法同 App.tsx 的 calcShippingForMethod。5kg / 20kg 对照列均不含超长费。</t>
        </is>
      </c>
    </row>
    <row r="3" ht="34" customHeight="1">
      <c r="A3" s="3" t="inlineStr">
        <is>
          <t>序号</t>
        </is>
      </c>
      <c r="B3" s="3" t="inlineStr">
        <is>
          <t>省份 / 地区</t>
        </is>
      </c>
      <c r="C3" s="4" t="inlineStr">
        <is>
          <t>普通快递 首重1kg(¥)</t>
        </is>
      </c>
      <c r="D3" s="4" t="inlineStr">
        <is>
          <t>普通快递 续重每kg(¥)</t>
        </is>
      </c>
      <c r="E3" s="5" t="inlineStr">
        <is>
          <t>顺丰快递 首重1kg(¥)</t>
        </is>
      </c>
      <c r="F3" s="5" t="inlineStr">
        <is>
          <t>顺丰快递 续重每kg(¥)</t>
        </is>
      </c>
      <c r="G3" s="6" t="inlineStr">
        <is>
          <t>安能物流 15kg内(¥)</t>
        </is>
      </c>
      <c r="H3" s="6" t="inlineStr">
        <is>
          <t>安能物流 超15kg每kg(¥)</t>
        </is>
      </c>
      <c r="I3" s="4" t="inlineStr">
        <is>
          <t>5kg 普通(¥)</t>
        </is>
      </c>
      <c r="J3" s="5" t="inlineStr">
        <is>
          <t>5kg 顺丰(¥)</t>
        </is>
      </c>
      <c r="K3" s="6" t="inlineStr">
        <is>
          <t>5kg 安能(¥)</t>
        </is>
      </c>
      <c r="L3" s="4" t="inlineStr">
        <is>
          <t>20kg 普通(¥)</t>
        </is>
      </c>
      <c r="M3" s="5" t="inlineStr">
        <is>
          <t>20kg 顺丰(¥)</t>
        </is>
      </c>
      <c r="N3" s="6" t="inlineStr">
        <is>
          <t>20kg 安能(¥)</t>
        </is>
      </c>
      <c r="O3" s="3" t="inlineStr">
        <is>
          <t>5kg 更便宜</t>
        </is>
      </c>
      <c r="P3" s="3" t="inlineStr">
        <is>
          <t>20kg 更便宜</t>
        </is>
      </c>
    </row>
    <row r="4">
      <c r="A4" s="7" t="n">
        <v>1</v>
      </c>
      <c r="B4" s="8" t="inlineStr">
        <is>
          <t>西藏</t>
        </is>
      </c>
      <c r="C4" s="9" t="n">
        <v>24</v>
      </c>
      <c r="D4" s="9" t="n">
        <v>12</v>
      </c>
      <c r="E4" s="10" t="n">
        <v>25</v>
      </c>
      <c r="F4" s="10" t="n">
        <v>19</v>
      </c>
      <c r="G4" s="11" t="n">
        <v>65</v>
      </c>
      <c r="H4" s="11" t="n">
        <v>3</v>
      </c>
      <c r="I4" s="9">
        <f>C4+(5-1)*D4</f>
        <v>72.0</v>
      </c>
      <c r="J4" s="10">
        <f>E4+(5-1)*F4</f>
        <v>101.0</v>
      </c>
      <c r="K4" s="11">
        <f>G4</f>
        <v>65</v>
      </c>
      <c r="L4" s="9">
        <f>C4+(20-1)*D4</f>
        <v>252.0</v>
      </c>
      <c r="M4" s="10">
        <f>E4+(20-1)*F4</f>
        <v>386.0</v>
      </c>
      <c r="N4" s="11">
        <f>G4+(20-15)*H4</f>
        <v>80.0</v>
      </c>
      <c r="O4" s="7" t="str">
        <f>IF(AND(I4&lt;=J4,I4&lt;=K4),"普通快递",IF(J4&lt;=K4,"顺丰快递","安能物流"))</f>
        <v>安能物流</v>
      </c>
      <c r="P4" s="7" t="str">
        <f>IF(AND(L4&lt;=M4,L4&lt;=N4),"普通快递",IF(M4&lt;=N4,"顺丰快递","安能物流"))</f>
        <v>安能物流</v>
      </c>
    </row>
    <row r="5">
      <c r="A5" s="7" t="n">
        <v>2</v>
      </c>
      <c r="B5" s="8" t="inlineStr">
        <is>
          <t>新疆</t>
        </is>
      </c>
      <c r="C5" s="9" t="n">
        <v>20</v>
      </c>
      <c r="D5" s="9" t="n">
        <v>8</v>
      </c>
      <c r="E5" s="10" t="n">
        <v>20</v>
      </c>
      <c r="F5" s="10" t="n">
        <v>10</v>
      </c>
      <c r="G5" s="11" t="n">
        <v>65</v>
      </c>
      <c r="H5" s="11" t="n">
        <v>3</v>
      </c>
      <c r="I5" s="9">
        <f>C5+(5-1)*D5</f>
        <v>52.0</v>
      </c>
      <c r="J5" s="10">
        <f>E5+(5-1)*F5</f>
        <v>60.0</v>
      </c>
      <c r="K5" s="11">
        <f>G5</f>
        <v>65</v>
      </c>
      <c r="L5" s="9">
        <f>C5+(20-1)*D5</f>
        <v>172.0</v>
      </c>
      <c r="M5" s="10">
        <f>E5+(20-1)*F5</f>
        <v>210.0</v>
      </c>
      <c r="N5" s="11">
        <f>G5+(20-15)*H5</f>
        <v>80.0</v>
      </c>
      <c r="O5" s="7" t="str">
        <f>IF(AND(I5&lt;=J5,I5&lt;=K5),"普通快递",IF(J5&lt;=K5,"顺丰快递","安能物流"))</f>
        <v>普通快递</v>
      </c>
      <c r="P5" s="7" t="str">
        <f>IF(AND(L5&lt;=M5,L5&lt;=N5),"普通快递",IF(M5&lt;=N5,"顺丰快递","安能物流"))</f>
        <v>安能物流</v>
      </c>
    </row>
    <row r="6">
      <c r="A6" s="7" t="n">
        <v>3</v>
      </c>
      <c r="B6" s="8" t="inlineStr">
        <is>
          <t>内蒙</t>
        </is>
      </c>
      <c r="C6" s="9" t="n">
        <v>16</v>
      </c>
      <c r="D6" s="9" t="n">
        <v>6</v>
      </c>
      <c r="E6" s="10" t="n">
        <v>18</v>
      </c>
      <c r="F6" s="10" t="n">
        <v>5</v>
      </c>
      <c r="G6" s="11" t="n">
        <v>50</v>
      </c>
      <c r="H6" s="11" t="n">
        <v>2.5</v>
      </c>
      <c r="I6" s="9">
        <f>C6+(5-1)*D6</f>
        <v>40.0</v>
      </c>
      <c r="J6" s="10">
        <f>E6+(5-1)*F6</f>
        <v>38.0</v>
      </c>
      <c r="K6" s="11">
        <f>G6</f>
        <v>50</v>
      </c>
      <c r="L6" s="9">
        <f>C6+(20-1)*D6</f>
        <v>130.0</v>
      </c>
      <c r="M6" s="10">
        <f>E6+(20-1)*F6</f>
        <v>113.0</v>
      </c>
      <c r="N6" s="11">
        <f>G6+(20-15)*H6</f>
        <v>62.5</v>
      </c>
      <c r="O6" s="7" t="str">
        <f>IF(AND(I6&lt;=J6,I6&lt;=K6),"普通快递",IF(J6&lt;=K6,"顺丰快递","安能物流"))</f>
        <v>顺丰快递</v>
      </c>
      <c r="P6" s="7" t="str">
        <f>IF(AND(L6&lt;=M6,L6&lt;=N6),"普通快递",IF(M6&lt;=N6,"顺丰快递","安能物流"))</f>
        <v>安能物流</v>
      </c>
    </row>
    <row r="7">
      <c r="A7" s="7" t="n">
        <v>4</v>
      </c>
      <c r="B7" s="8" t="inlineStr">
        <is>
          <t>黑龙江</t>
        </is>
      </c>
      <c r="C7" s="9" t="n">
        <v>15</v>
      </c>
      <c r="D7" s="9" t="n">
        <v>6</v>
      </c>
      <c r="E7" s="10" t="n">
        <v>18</v>
      </c>
      <c r="F7" s="10" t="n">
        <v>6</v>
      </c>
      <c r="G7" s="11" t="n">
        <v>38</v>
      </c>
      <c r="H7" s="11" t="n">
        <v>1.6</v>
      </c>
      <c r="I7" s="9">
        <f>C7+(5-1)*D7</f>
        <v>39.0</v>
      </c>
      <c r="J7" s="10">
        <f>E7+(5-1)*F7</f>
        <v>42.0</v>
      </c>
      <c r="K7" s="11">
        <f>G7</f>
        <v>38</v>
      </c>
      <c r="L7" s="9">
        <f>C7+(20-1)*D7</f>
        <v>129.0</v>
      </c>
      <c r="M7" s="10">
        <f>E7+(20-1)*F7</f>
        <v>132.0</v>
      </c>
      <c r="N7" s="11">
        <f>G7+(20-15)*H7</f>
        <v>46.0</v>
      </c>
      <c r="O7" s="7" t="str">
        <f>IF(AND(I7&lt;=J7,I7&lt;=K7),"普通快递",IF(J7&lt;=K7,"顺丰快递","安能物流"))</f>
        <v>安能物流</v>
      </c>
      <c r="P7" s="7" t="str">
        <f>IF(AND(L7&lt;=M7,L7&lt;=N7),"普通快递",IF(M7&lt;=N7,"顺丰快递","安能物流"))</f>
        <v>安能物流</v>
      </c>
    </row>
    <row r="8">
      <c r="A8" s="7" t="n">
        <v>5</v>
      </c>
      <c r="B8" s="8" t="inlineStr">
        <is>
          <t>吉林</t>
        </is>
      </c>
      <c r="C8" s="9" t="n">
        <v>15</v>
      </c>
      <c r="D8" s="9" t="n">
        <v>6</v>
      </c>
      <c r="E8" s="10" t="n">
        <v>18</v>
      </c>
      <c r="F8" s="10" t="n">
        <v>5</v>
      </c>
      <c r="G8" s="11" t="n">
        <v>38</v>
      </c>
      <c r="H8" s="11" t="n">
        <v>1.6</v>
      </c>
      <c r="I8" s="9">
        <f>C8+(5-1)*D8</f>
        <v>39.0</v>
      </c>
      <c r="J8" s="10">
        <f>E8+(5-1)*F8</f>
        <v>38.0</v>
      </c>
      <c r="K8" s="11">
        <f>G8</f>
        <v>38</v>
      </c>
      <c r="L8" s="9">
        <f>C8+(20-1)*D8</f>
        <v>129.0</v>
      </c>
      <c r="M8" s="10">
        <f>E8+(20-1)*F8</f>
        <v>113.0</v>
      </c>
      <c r="N8" s="11">
        <f>G8+(20-15)*H8</f>
        <v>46.0</v>
      </c>
      <c r="O8" s="7" t="str">
        <f>IF(AND(I8&lt;=J8,I8&lt;=K8),"普通快递",IF(J8&lt;=K8,"顺丰快递","安能物流"))</f>
        <v>顺丰快递</v>
      </c>
      <c r="P8" s="7" t="str">
        <f>IF(AND(L8&lt;=M8,L8&lt;=N8),"普通快递",IF(M8&lt;=N8,"顺丰快递","安能物流"))</f>
        <v>安能物流</v>
      </c>
    </row>
    <row r="9">
      <c r="A9" s="7" t="n">
        <v>6</v>
      </c>
      <c r="B9" s="8" t="inlineStr">
        <is>
          <t>甘肃</t>
        </is>
      </c>
      <c r="C9" s="9" t="n">
        <v>17</v>
      </c>
      <c r="D9" s="9" t="n">
        <v>6</v>
      </c>
      <c r="E9" s="10" t="n">
        <v>18</v>
      </c>
      <c r="F9" s="10" t="n">
        <v>6</v>
      </c>
      <c r="G9" s="11" t="n">
        <v>50</v>
      </c>
      <c r="H9" s="11" t="n">
        <v>2.1</v>
      </c>
      <c r="I9" s="9">
        <f>C9+(5-1)*D9</f>
        <v>41.0</v>
      </c>
      <c r="J9" s="10">
        <f>E9+(5-1)*F9</f>
        <v>42.0</v>
      </c>
      <c r="K9" s="11">
        <f>G9</f>
        <v>50</v>
      </c>
      <c r="L9" s="9">
        <f>C9+(20-1)*D9</f>
        <v>131.0</v>
      </c>
      <c r="M9" s="10">
        <f>E9+(20-1)*F9</f>
        <v>132.0</v>
      </c>
      <c r="N9" s="11">
        <f>G9+(20-15)*H9</f>
        <v>60.5</v>
      </c>
      <c r="O9" s="7" t="str">
        <f>IF(AND(I9&lt;=J9,I9&lt;=K9),"普通快递",IF(J9&lt;=K9,"顺丰快递","安能物流"))</f>
        <v>普通快递</v>
      </c>
      <c r="P9" s="7" t="str">
        <f>IF(AND(L9&lt;=M9,L9&lt;=N9),"普通快递",IF(M9&lt;=N9,"顺丰快递","安能物流"))</f>
        <v>安能物流</v>
      </c>
    </row>
    <row r="10">
      <c r="A10" s="7" t="n">
        <v>7</v>
      </c>
      <c r="B10" s="8" t="inlineStr">
        <is>
          <t>宁夏</t>
        </is>
      </c>
      <c r="C10" s="9" t="n">
        <v>16</v>
      </c>
      <c r="D10" s="9" t="n">
        <v>6</v>
      </c>
      <c r="E10" s="10" t="n">
        <v>18</v>
      </c>
      <c r="F10" s="10" t="n">
        <v>5</v>
      </c>
      <c r="G10" s="11" t="n">
        <v>50</v>
      </c>
      <c r="H10" s="11" t="n">
        <v>2.4</v>
      </c>
      <c r="I10" s="9">
        <f>C10+(5-1)*D10</f>
        <v>40.0</v>
      </c>
      <c r="J10" s="10">
        <f>E10+(5-1)*F10</f>
        <v>38.0</v>
      </c>
      <c r="K10" s="11">
        <f>G10</f>
        <v>50</v>
      </c>
      <c r="L10" s="9">
        <f>C10+(20-1)*D10</f>
        <v>130.0</v>
      </c>
      <c r="M10" s="10">
        <f>E10+(20-1)*F10</f>
        <v>113.0</v>
      </c>
      <c r="N10" s="11">
        <f>G10+(20-15)*H10</f>
        <v>62.0</v>
      </c>
      <c r="O10" s="7" t="str">
        <f>IF(AND(I10&lt;=J10,I10&lt;=K10),"普通快递",IF(J10&lt;=K10,"顺丰快递","安能物流"))</f>
        <v>顺丰快递</v>
      </c>
      <c r="P10" s="7" t="str">
        <f>IF(AND(L10&lt;=M10,L10&lt;=N10),"普通快递",IF(M10&lt;=N10,"顺丰快递","安能物流"))</f>
        <v>安能物流</v>
      </c>
    </row>
    <row r="11">
      <c r="A11" s="7" t="n">
        <v>8</v>
      </c>
      <c r="B11" s="8" t="inlineStr">
        <is>
          <t>青海</t>
        </is>
      </c>
      <c r="C11" s="9" t="n">
        <v>17</v>
      </c>
      <c r="D11" s="9" t="n">
        <v>6</v>
      </c>
      <c r="E11" s="10" t="n">
        <v>18</v>
      </c>
      <c r="F11" s="10" t="n">
        <v>7</v>
      </c>
      <c r="G11" s="11" t="n">
        <v>50</v>
      </c>
      <c r="H11" s="11" t="n">
        <v>2.4</v>
      </c>
      <c r="I11" s="9">
        <f>C11+(5-1)*D11</f>
        <v>41.0</v>
      </c>
      <c r="J11" s="10">
        <f>E11+(5-1)*F11</f>
        <v>46.0</v>
      </c>
      <c r="K11" s="11">
        <f>G11</f>
        <v>50</v>
      </c>
      <c r="L11" s="9">
        <f>C11+(20-1)*D11</f>
        <v>131.0</v>
      </c>
      <c r="M11" s="10">
        <f>E11+(20-1)*F11</f>
        <v>151.0</v>
      </c>
      <c r="N11" s="11">
        <f>G11+(20-15)*H11</f>
        <v>62.0</v>
      </c>
      <c r="O11" s="7" t="str">
        <f>IF(AND(I11&lt;=J11,I11&lt;=K11),"普通快递",IF(J11&lt;=K11,"顺丰快递","安能物流"))</f>
        <v>普通快递</v>
      </c>
      <c r="P11" s="7" t="str">
        <f>IF(AND(L11&lt;=M11,L11&lt;=N11),"普通快递",IF(M11&lt;=N11,"顺丰快递","安能物流"))</f>
        <v>安能物流</v>
      </c>
    </row>
    <row r="12">
      <c r="A12" s="7" t="n">
        <v>9</v>
      </c>
      <c r="B12" s="8" t="inlineStr">
        <is>
          <t>重庆</t>
        </is>
      </c>
      <c r="C12" s="9" t="n">
        <v>15</v>
      </c>
      <c r="D12" s="9" t="n">
        <v>6</v>
      </c>
      <c r="E12" s="10" t="n">
        <v>18</v>
      </c>
      <c r="F12" s="10" t="n">
        <v>6</v>
      </c>
      <c r="G12" s="11" t="n">
        <v>45</v>
      </c>
      <c r="H12" s="11" t="n">
        <v>1.7</v>
      </c>
      <c r="I12" s="9">
        <f>C12+(5-1)*D12</f>
        <v>39.0</v>
      </c>
      <c r="J12" s="10">
        <f>E12+(5-1)*F12</f>
        <v>42.0</v>
      </c>
      <c r="K12" s="11">
        <f>G12</f>
        <v>45</v>
      </c>
      <c r="L12" s="9">
        <f>C12+(20-1)*D12</f>
        <v>129.0</v>
      </c>
      <c r="M12" s="10">
        <f>E12+(20-1)*F12</f>
        <v>132.0</v>
      </c>
      <c r="N12" s="11">
        <f>G12+(20-15)*H12</f>
        <v>53.5</v>
      </c>
      <c r="O12" s="7" t="str">
        <f>IF(AND(I12&lt;=J12,I12&lt;=K12),"普通快递",IF(J12&lt;=K12,"顺丰快递","安能物流"))</f>
        <v>普通快递</v>
      </c>
      <c r="P12" s="7" t="str">
        <f>IF(AND(L12&lt;=M12,L12&lt;=N12),"普通快递",IF(M12&lt;=N12,"顺丰快递","安能物流"))</f>
        <v>安能物流</v>
      </c>
    </row>
    <row r="13">
      <c r="A13" s="7" t="n">
        <v>10</v>
      </c>
      <c r="B13" s="8" t="inlineStr">
        <is>
          <t>广西</t>
        </is>
      </c>
      <c r="C13" s="9" t="n">
        <v>15</v>
      </c>
      <c r="D13" s="9" t="n">
        <v>6</v>
      </c>
      <c r="E13" s="10" t="n">
        <v>18</v>
      </c>
      <c r="F13" s="10" t="n">
        <v>7</v>
      </c>
      <c r="G13" s="11" t="n">
        <v>45</v>
      </c>
      <c r="H13" s="11" t="n">
        <v>1.9</v>
      </c>
      <c r="I13" s="9">
        <f>C13+(5-1)*D13</f>
        <v>39.0</v>
      </c>
      <c r="J13" s="10">
        <f>E13+(5-1)*F13</f>
        <v>46.0</v>
      </c>
      <c r="K13" s="11">
        <f>G13</f>
        <v>45</v>
      </c>
      <c r="L13" s="9">
        <f>C13+(20-1)*D13</f>
        <v>129.0</v>
      </c>
      <c r="M13" s="10">
        <f>E13+(20-1)*F13</f>
        <v>151.0</v>
      </c>
      <c r="N13" s="11">
        <f>G13+(20-15)*H13</f>
        <v>54.5</v>
      </c>
      <c r="O13" s="7" t="str">
        <f>IF(AND(I13&lt;=J13,I13&lt;=K13),"普通快递",IF(J13&lt;=K13,"顺丰快递","安能物流"))</f>
        <v>普通快递</v>
      </c>
      <c r="P13" s="7" t="str">
        <f>IF(AND(L13&lt;=M13,L13&lt;=N13),"普通快递",IF(M13&lt;=N13,"顺丰快递","安能物流"))</f>
        <v>安能物流</v>
      </c>
    </row>
    <row r="14">
      <c r="A14" s="7" t="n">
        <v>11</v>
      </c>
      <c r="B14" s="8" t="inlineStr">
        <is>
          <t>贵州</t>
        </is>
      </c>
      <c r="C14" s="9" t="n">
        <v>15</v>
      </c>
      <c r="D14" s="9" t="n">
        <v>6</v>
      </c>
      <c r="E14" s="10" t="n">
        <v>18</v>
      </c>
      <c r="F14" s="10" t="n">
        <v>7</v>
      </c>
      <c r="G14" s="11" t="n">
        <v>45</v>
      </c>
      <c r="H14" s="11" t="n">
        <v>1.9</v>
      </c>
      <c r="I14" s="9">
        <f>C14+(5-1)*D14</f>
        <v>39.0</v>
      </c>
      <c r="J14" s="10">
        <f>E14+(5-1)*F14</f>
        <v>46.0</v>
      </c>
      <c r="K14" s="11">
        <f>G14</f>
        <v>45</v>
      </c>
      <c r="L14" s="9">
        <f>C14+(20-1)*D14</f>
        <v>129.0</v>
      </c>
      <c r="M14" s="10">
        <f>E14+(20-1)*F14</f>
        <v>151.0</v>
      </c>
      <c r="N14" s="11">
        <f>G14+(20-15)*H14</f>
        <v>54.5</v>
      </c>
      <c r="O14" s="7" t="str">
        <f>IF(AND(I14&lt;=J14,I14&lt;=K14),"普通快递",IF(J14&lt;=K14,"顺丰快递","安能物流"))</f>
        <v>普通快递</v>
      </c>
      <c r="P14" s="7" t="str">
        <f>IF(AND(L14&lt;=M14,L14&lt;=N14),"普通快递",IF(M14&lt;=N14,"顺丰快递","安能物流"))</f>
        <v>安能物流</v>
      </c>
    </row>
    <row r="15">
      <c r="A15" s="7" t="n">
        <v>12</v>
      </c>
      <c r="B15" s="8" t="inlineStr">
        <is>
          <t>海南</t>
        </is>
      </c>
      <c r="C15" s="9" t="n">
        <v>15</v>
      </c>
      <c r="D15" s="9" t="n">
        <v>6</v>
      </c>
      <c r="E15" s="10" t="n">
        <v>18</v>
      </c>
      <c r="F15" s="10" t="n">
        <v>7</v>
      </c>
      <c r="G15" s="11" t="n">
        <v>60</v>
      </c>
      <c r="H15" s="11" t="n">
        <v>3</v>
      </c>
      <c r="I15" s="9">
        <f>C15+(5-1)*D15</f>
        <v>39.0</v>
      </c>
      <c r="J15" s="10">
        <f>E15+(5-1)*F15</f>
        <v>46.0</v>
      </c>
      <c r="K15" s="11">
        <f>G15</f>
        <v>60</v>
      </c>
      <c r="L15" s="9">
        <f>C15+(20-1)*D15</f>
        <v>129.0</v>
      </c>
      <c r="M15" s="10">
        <f>E15+(20-1)*F15</f>
        <v>151.0</v>
      </c>
      <c r="N15" s="11">
        <f>G15+(20-15)*H15</f>
        <v>75.0</v>
      </c>
      <c r="O15" s="7" t="str">
        <f>IF(AND(I15&lt;=J15,I15&lt;=K15),"普通快递",IF(J15&lt;=K15,"顺丰快递","安能物流"))</f>
        <v>普通快递</v>
      </c>
      <c r="P15" s="7" t="str">
        <f>IF(AND(L15&lt;=M15,L15&lt;=N15),"普通快递",IF(M15&lt;=N15,"顺丰快递","安能物流"))</f>
        <v>安能物流</v>
      </c>
    </row>
    <row r="16">
      <c r="A16" s="7" t="n">
        <v>13</v>
      </c>
      <c r="B16" s="8" t="inlineStr">
        <is>
          <t>辽宁</t>
        </is>
      </c>
      <c r="C16" s="9" t="n">
        <v>15</v>
      </c>
      <c r="D16" s="9" t="n">
        <v>6</v>
      </c>
      <c r="E16" s="10" t="n">
        <v>18</v>
      </c>
      <c r="F16" s="10" t="n">
        <v>5</v>
      </c>
      <c r="G16" s="11" t="n">
        <v>38</v>
      </c>
      <c r="H16" s="11" t="n">
        <v>1.6</v>
      </c>
      <c r="I16" s="9">
        <f>C16+(5-1)*D16</f>
        <v>39.0</v>
      </c>
      <c r="J16" s="10">
        <f>E16+(5-1)*F16</f>
        <v>38.0</v>
      </c>
      <c r="K16" s="11">
        <f>G16</f>
        <v>38</v>
      </c>
      <c r="L16" s="9">
        <f>C16+(20-1)*D16</f>
        <v>129.0</v>
      </c>
      <c r="M16" s="10">
        <f>E16+(20-1)*F16</f>
        <v>113.0</v>
      </c>
      <c r="N16" s="11">
        <f>G16+(20-15)*H16</f>
        <v>46.0</v>
      </c>
      <c r="O16" s="7" t="str">
        <f>IF(AND(I16&lt;=J16,I16&lt;=K16),"普通快递",IF(J16&lt;=K16,"顺丰快递","安能物流"))</f>
        <v>顺丰快递</v>
      </c>
      <c r="P16" s="7" t="str">
        <f>IF(AND(L16&lt;=M16,L16&lt;=N16),"普通快递",IF(M16&lt;=N16,"顺丰快递","安能物流"))</f>
        <v>安能物流</v>
      </c>
    </row>
    <row r="17">
      <c r="A17" s="7" t="n">
        <v>14</v>
      </c>
      <c r="B17" s="8" t="inlineStr">
        <is>
          <t>四川</t>
        </is>
      </c>
      <c r="C17" s="9" t="n">
        <v>15</v>
      </c>
      <c r="D17" s="9" t="n">
        <v>6</v>
      </c>
      <c r="E17" s="10" t="n">
        <v>18</v>
      </c>
      <c r="F17" s="10" t="n">
        <v>6</v>
      </c>
      <c r="G17" s="11" t="n">
        <v>45</v>
      </c>
      <c r="H17" s="11" t="n">
        <v>1.7</v>
      </c>
      <c r="I17" s="9">
        <f>C17+(5-1)*D17</f>
        <v>39.0</v>
      </c>
      <c r="J17" s="10">
        <f>E17+(5-1)*F17</f>
        <v>42.0</v>
      </c>
      <c r="K17" s="11">
        <f>G17</f>
        <v>45</v>
      </c>
      <c r="L17" s="9">
        <f>C17+(20-1)*D17</f>
        <v>129.0</v>
      </c>
      <c r="M17" s="10">
        <f>E17+(20-1)*F17</f>
        <v>132.0</v>
      </c>
      <c r="N17" s="11">
        <f>G17+(20-15)*H17</f>
        <v>53.5</v>
      </c>
      <c r="O17" s="7" t="str">
        <f>IF(AND(I17&lt;=J17,I17&lt;=K17),"普通快递",IF(J17&lt;=K17,"顺丰快递","安能物流"))</f>
        <v>普通快递</v>
      </c>
      <c r="P17" s="7" t="str">
        <f>IF(AND(L17&lt;=M17,L17&lt;=N17),"普通快递",IF(M17&lt;=N17,"顺丰快递","安能物流"))</f>
        <v>安能物流</v>
      </c>
    </row>
    <row r="18">
      <c r="A18" s="7" t="n">
        <v>15</v>
      </c>
      <c r="B18" s="8" t="inlineStr">
        <is>
          <t>云南</t>
        </is>
      </c>
      <c r="C18" s="9" t="n">
        <v>15</v>
      </c>
      <c r="D18" s="9" t="n">
        <v>6</v>
      </c>
      <c r="E18" s="10" t="n">
        <v>18</v>
      </c>
      <c r="F18" s="10" t="n">
        <v>7</v>
      </c>
      <c r="G18" s="11" t="n">
        <v>45</v>
      </c>
      <c r="H18" s="11" t="n">
        <v>1.9</v>
      </c>
      <c r="I18" s="9">
        <f>C18+(5-1)*D18</f>
        <v>39.0</v>
      </c>
      <c r="J18" s="10">
        <f>E18+(5-1)*F18</f>
        <v>46.0</v>
      </c>
      <c r="K18" s="11">
        <f>G18</f>
        <v>45</v>
      </c>
      <c r="L18" s="9">
        <f>C18+(20-1)*D18</f>
        <v>129.0</v>
      </c>
      <c r="M18" s="10">
        <f>E18+(20-1)*F18</f>
        <v>151.0</v>
      </c>
      <c r="N18" s="11">
        <f>G18+(20-15)*H18</f>
        <v>54.5</v>
      </c>
      <c r="O18" s="7" t="str">
        <f>IF(AND(I18&lt;=J18,I18&lt;=K18),"普通快递",IF(J18&lt;=K18,"顺丰快递","安能物流"))</f>
        <v>普通快递</v>
      </c>
      <c r="P18" s="7" t="str">
        <f>IF(AND(L18&lt;=M18,L18&lt;=N18),"普通快递",IF(M18&lt;=N18,"顺丰快递","安能物流"))</f>
        <v>安能物流</v>
      </c>
    </row>
    <row r="19">
      <c r="A19" s="7" t="n">
        <v>16</v>
      </c>
      <c r="B19" s="8" t="inlineStr">
        <is>
          <t>福建</t>
        </is>
      </c>
      <c r="C19" s="9" t="n">
        <v>12</v>
      </c>
      <c r="D19" s="9" t="n">
        <v>6</v>
      </c>
      <c r="E19" s="10" t="n">
        <v>18</v>
      </c>
      <c r="F19" s="10" t="n">
        <v>5</v>
      </c>
      <c r="G19" s="11" t="n">
        <v>38</v>
      </c>
      <c r="H19" s="11" t="n">
        <v>1.4</v>
      </c>
      <c r="I19" s="9">
        <f>C19+(5-1)*D19</f>
        <v>36.0</v>
      </c>
      <c r="J19" s="10">
        <f>E19+(5-1)*F19</f>
        <v>38.0</v>
      </c>
      <c r="K19" s="11">
        <f>G19</f>
        <v>38</v>
      </c>
      <c r="L19" s="9">
        <f>C19+(20-1)*D19</f>
        <v>126.0</v>
      </c>
      <c r="M19" s="10">
        <f>E19+(20-1)*F19</f>
        <v>113.0</v>
      </c>
      <c r="N19" s="11">
        <f>G19+(20-15)*H19</f>
        <v>45.0</v>
      </c>
      <c r="O19" s="7" t="str">
        <f>IF(AND(I19&lt;=J19,I19&lt;=K19),"普通快递",IF(J19&lt;=K19,"顺丰快递","安能物流"))</f>
        <v>普通快递</v>
      </c>
      <c r="P19" s="7" t="str">
        <f>IF(AND(L19&lt;=M19,L19&lt;=N19),"普通快递",IF(M19&lt;=N19,"顺丰快递","安能物流"))</f>
        <v>安能物流</v>
      </c>
    </row>
    <row r="20">
      <c r="A20" s="7" t="n">
        <v>17</v>
      </c>
      <c r="B20" s="8" t="inlineStr">
        <is>
          <t>广东</t>
        </is>
      </c>
      <c r="C20" s="9" t="n">
        <v>12</v>
      </c>
      <c r="D20" s="9" t="n">
        <v>6</v>
      </c>
      <c r="E20" s="10" t="n">
        <v>18</v>
      </c>
      <c r="F20" s="10" t="n">
        <v>7</v>
      </c>
      <c r="G20" s="11" t="n">
        <v>38</v>
      </c>
      <c r="H20" s="11" t="n">
        <v>1.5</v>
      </c>
      <c r="I20" s="9">
        <f>C20+(5-1)*D20</f>
        <v>36.0</v>
      </c>
      <c r="J20" s="10">
        <f>E20+(5-1)*F20</f>
        <v>46.0</v>
      </c>
      <c r="K20" s="11">
        <f>G20</f>
        <v>38</v>
      </c>
      <c r="L20" s="9">
        <f>C20+(20-1)*D20</f>
        <v>126.0</v>
      </c>
      <c r="M20" s="10">
        <f>E20+(20-1)*F20</f>
        <v>151.0</v>
      </c>
      <c r="N20" s="11">
        <f>G20+(20-15)*H20</f>
        <v>45.5</v>
      </c>
      <c r="O20" s="7" t="str">
        <f>IF(AND(I20&lt;=J20,I20&lt;=K20),"普通快递",IF(J20&lt;=K20,"顺丰快递","安能物流"))</f>
        <v>普通快递</v>
      </c>
      <c r="P20" s="7" t="str">
        <f>IF(AND(L20&lt;=M20,L20&lt;=N20),"普通快递",IF(M20&lt;=N20,"顺丰快递","安能物流"))</f>
        <v>安能物流</v>
      </c>
    </row>
    <row r="21">
      <c r="A21" s="7" t="n">
        <v>18</v>
      </c>
      <c r="B21" s="8" t="inlineStr">
        <is>
          <t>山东</t>
        </is>
      </c>
      <c r="C21" s="9" t="n">
        <v>12</v>
      </c>
      <c r="D21" s="9" t="n">
        <v>2</v>
      </c>
      <c r="E21" s="10" t="n">
        <v>13</v>
      </c>
      <c r="F21" s="10" t="n">
        <v>2</v>
      </c>
      <c r="G21" s="11" t="n">
        <v>30</v>
      </c>
      <c r="H21" s="11" t="n">
        <v>1</v>
      </c>
      <c r="I21" s="9">
        <f>C21+(5-1)*D21</f>
        <v>20.0</v>
      </c>
      <c r="J21" s="10">
        <f>E21+(5-1)*F21</f>
        <v>21.0</v>
      </c>
      <c r="K21" s="11">
        <f>G21</f>
        <v>30</v>
      </c>
      <c r="L21" s="9">
        <f>C21+(20-1)*D21</f>
        <v>50.0</v>
      </c>
      <c r="M21" s="10">
        <f>E21+(20-1)*F21</f>
        <v>51.0</v>
      </c>
      <c r="N21" s="11">
        <f>G21+(20-15)*H21</f>
        <v>35.0</v>
      </c>
      <c r="O21" s="7" t="str">
        <f>IF(AND(I21&lt;=J21,I21&lt;=K21),"普通快递",IF(J21&lt;=K21,"顺丰快递","安能物流"))</f>
        <v>普通快递</v>
      </c>
      <c r="P21" s="7" t="str">
        <f>IF(AND(L21&lt;=M21,L21&lt;=N21),"普通快递",IF(M21&lt;=N21,"顺丰快递","安能物流"))</f>
        <v>安能物流</v>
      </c>
    </row>
    <row r="22">
      <c r="A22" s="7" t="n">
        <v>19</v>
      </c>
      <c r="B22" s="8" t="inlineStr">
        <is>
          <t>山西</t>
        </is>
      </c>
      <c r="C22" s="9" t="n">
        <v>15</v>
      </c>
      <c r="D22" s="9" t="n">
        <v>5</v>
      </c>
      <c r="E22" s="10" t="n">
        <v>19</v>
      </c>
      <c r="F22" s="10" t="n">
        <v>6</v>
      </c>
      <c r="G22" s="11" t="n">
        <v>38</v>
      </c>
      <c r="H22" s="11" t="n">
        <v>1.5</v>
      </c>
      <c r="I22" s="9">
        <f>C22+(5-1)*D22</f>
        <v>35.0</v>
      </c>
      <c r="J22" s="10">
        <f>E22+(5-1)*F22</f>
        <v>43.0</v>
      </c>
      <c r="K22" s="11">
        <f>G22</f>
        <v>38</v>
      </c>
      <c r="L22" s="9">
        <f>C22+(20-1)*D22</f>
        <v>110.0</v>
      </c>
      <c r="M22" s="10">
        <f>E22+(20-1)*F22</f>
        <v>133.0</v>
      </c>
      <c r="N22" s="11">
        <f>G22+(20-15)*H22</f>
        <v>45.5</v>
      </c>
      <c r="O22" s="7" t="str">
        <f>IF(AND(I22&lt;=J22,I22&lt;=K22),"普通快递",IF(J22&lt;=K22,"顺丰快递","安能物流"))</f>
        <v>普通快递</v>
      </c>
      <c r="P22" s="7" t="str">
        <f>IF(AND(L22&lt;=M22,L22&lt;=N22),"普通快递",IF(M22&lt;=N22,"顺丰快递","安能物流"))</f>
        <v>安能物流</v>
      </c>
    </row>
    <row r="23">
      <c r="A23" s="7" t="n">
        <v>20</v>
      </c>
      <c r="B23" s="8" t="inlineStr">
        <is>
          <t>陕西</t>
        </is>
      </c>
      <c r="C23" s="9" t="n">
        <v>15</v>
      </c>
      <c r="D23" s="9" t="n">
        <v>5</v>
      </c>
      <c r="E23" s="10" t="n">
        <v>18</v>
      </c>
      <c r="F23" s="10" t="n">
        <v>5</v>
      </c>
      <c r="G23" s="11" t="n">
        <v>38</v>
      </c>
      <c r="H23" s="11" t="n">
        <v>1.5</v>
      </c>
      <c r="I23" s="9">
        <f>C23+(5-1)*D23</f>
        <v>35.0</v>
      </c>
      <c r="J23" s="10">
        <f>E23+(5-1)*F23</f>
        <v>38.0</v>
      </c>
      <c r="K23" s="11">
        <f>G23</f>
        <v>38</v>
      </c>
      <c r="L23" s="9">
        <f>C23+(20-1)*D23</f>
        <v>110.0</v>
      </c>
      <c r="M23" s="10">
        <f>E23+(20-1)*F23</f>
        <v>113.0</v>
      </c>
      <c r="N23" s="11">
        <f>G23+(20-15)*H23</f>
        <v>45.5</v>
      </c>
      <c r="O23" s="7" t="str">
        <f>IF(AND(I23&lt;=J23,I23&lt;=K23),"普通快递",IF(J23&lt;=K23,"顺丰快递","安能物流"))</f>
        <v>普通快递</v>
      </c>
      <c r="P23" s="7" t="str">
        <f>IF(AND(L23&lt;=M23,L23&lt;=N23),"普通快递",IF(M23&lt;=N23,"顺丰快递","安能物流"))</f>
        <v>安能物流</v>
      </c>
    </row>
    <row r="24">
      <c r="A24" s="7" t="n">
        <v>21</v>
      </c>
      <c r="B24" s="8" t="inlineStr">
        <is>
          <t>北京</t>
        </is>
      </c>
      <c r="C24" s="9" t="n">
        <v>12</v>
      </c>
      <c r="D24" s="9" t="n">
        <v>5</v>
      </c>
      <c r="E24" s="10" t="n">
        <v>18</v>
      </c>
      <c r="F24" s="10" t="n">
        <v>5</v>
      </c>
      <c r="G24" s="11" t="n">
        <v>35</v>
      </c>
      <c r="H24" s="11" t="n">
        <v>1.4</v>
      </c>
      <c r="I24" s="9">
        <f>C24+(5-1)*D24</f>
        <v>32.0</v>
      </c>
      <c r="J24" s="10">
        <f>E24+(5-1)*F24</f>
        <v>38.0</v>
      </c>
      <c r="K24" s="11">
        <f>G24</f>
        <v>35</v>
      </c>
      <c r="L24" s="9">
        <f>C24+(20-1)*D24</f>
        <v>107.0</v>
      </c>
      <c r="M24" s="10">
        <f>E24+(20-1)*F24</f>
        <v>113.0</v>
      </c>
      <c r="N24" s="11">
        <f>G24+(20-15)*H24</f>
        <v>42.0</v>
      </c>
      <c r="O24" s="7" t="str">
        <f>IF(AND(I24&lt;=J24,I24&lt;=K24),"普通快递",IF(J24&lt;=K24,"顺丰快递","安能物流"))</f>
        <v>普通快递</v>
      </c>
      <c r="P24" s="7" t="str">
        <f>IF(AND(L24&lt;=M24,L24&lt;=N24),"普通快递",IF(M24&lt;=N24,"顺丰快递","安能物流"))</f>
        <v>安能物流</v>
      </c>
    </row>
    <row r="25">
      <c r="A25" s="7" t="n">
        <v>22</v>
      </c>
      <c r="B25" s="8" t="inlineStr">
        <is>
          <t>河北</t>
        </is>
      </c>
      <c r="C25" s="9" t="n">
        <v>12</v>
      </c>
      <c r="D25" s="9" t="n">
        <v>5</v>
      </c>
      <c r="E25" s="10" t="n">
        <v>18</v>
      </c>
      <c r="F25" s="10" t="n">
        <v>5</v>
      </c>
      <c r="G25" s="11" t="n">
        <v>33</v>
      </c>
      <c r="H25" s="11" t="n">
        <v>1.1</v>
      </c>
      <c r="I25" s="9">
        <f>C25+(5-1)*D25</f>
        <v>32.0</v>
      </c>
      <c r="J25" s="10">
        <f>E25+(5-1)*F25</f>
        <v>38.0</v>
      </c>
      <c r="K25" s="11">
        <f>G25</f>
        <v>33</v>
      </c>
      <c r="L25" s="9">
        <f>C25+(20-1)*D25</f>
        <v>107.0</v>
      </c>
      <c r="M25" s="10">
        <f>E25+(20-1)*F25</f>
        <v>113.0</v>
      </c>
      <c r="N25" s="11">
        <f>G25+(20-15)*H25</f>
        <v>38.5</v>
      </c>
      <c r="O25" s="7" t="str">
        <f>IF(AND(I25&lt;=J25,I25&lt;=K25),"普通快递",IF(J25&lt;=K25,"顺丰快递","安能物流"))</f>
        <v>普通快递</v>
      </c>
      <c r="P25" s="7" t="str">
        <f>IF(AND(L25&lt;=M25,L25&lt;=N25),"普通快递",IF(M25&lt;=N25,"顺丰快递","安能物流"))</f>
        <v>安能物流</v>
      </c>
    </row>
    <row r="26">
      <c r="A26" s="7" t="n">
        <v>23</v>
      </c>
      <c r="B26" s="8" t="inlineStr">
        <is>
          <t>河南</t>
        </is>
      </c>
      <c r="C26" s="9" t="n">
        <v>12</v>
      </c>
      <c r="D26" s="9" t="n">
        <v>5</v>
      </c>
      <c r="E26" s="10" t="n">
        <v>18</v>
      </c>
      <c r="F26" s="10" t="n">
        <v>5</v>
      </c>
      <c r="G26" s="11" t="n">
        <v>33</v>
      </c>
      <c r="H26" s="11" t="n">
        <v>1.1</v>
      </c>
      <c r="I26" s="9">
        <f>C26+(5-1)*D26</f>
        <v>32.0</v>
      </c>
      <c r="J26" s="10">
        <f>E26+(5-1)*F26</f>
        <v>38.0</v>
      </c>
      <c r="K26" s="11">
        <f>G26</f>
        <v>33</v>
      </c>
      <c r="L26" s="9">
        <f>C26+(20-1)*D26</f>
        <v>107.0</v>
      </c>
      <c r="M26" s="10">
        <f>E26+(20-1)*F26</f>
        <v>113.0</v>
      </c>
      <c r="N26" s="11">
        <f>G26+(20-15)*H26</f>
        <v>38.5</v>
      </c>
      <c r="O26" s="7" t="str">
        <f>IF(AND(I26&lt;=J26,I26&lt;=K26),"普通快递",IF(J26&lt;=K26,"顺丰快递","安能物流"))</f>
        <v>普通快递</v>
      </c>
      <c r="P26" s="7" t="str">
        <f>IF(AND(L26&lt;=M26,L26&lt;=N26),"普通快递",IF(M26&lt;=N26,"顺丰快递","安能物流"))</f>
        <v>安能物流</v>
      </c>
    </row>
    <row r="27">
      <c r="A27" s="7" t="n">
        <v>24</v>
      </c>
      <c r="B27" s="8" t="inlineStr">
        <is>
          <t>湖北</t>
        </is>
      </c>
      <c r="C27" s="9" t="n">
        <v>12</v>
      </c>
      <c r="D27" s="9" t="n">
        <v>5</v>
      </c>
      <c r="E27" s="10" t="n">
        <v>18</v>
      </c>
      <c r="F27" s="10" t="n">
        <v>5</v>
      </c>
      <c r="G27" s="11" t="n">
        <v>38</v>
      </c>
      <c r="H27" s="11" t="n">
        <v>1.4</v>
      </c>
      <c r="I27" s="9">
        <f>C27+(5-1)*D27</f>
        <v>32.0</v>
      </c>
      <c r="J27" s="10">
        <f>E27+(5-1)*F27</f>
        <v>38.0</v>
      </c>
      <c r="K27" s="11">
        <f>G27</f>
        <v>38</v>
      </c>
      <c r="L27" s="9">
        <f>C27+(20-1)*D27</f>
        <v>107.0</v>
      </c>
      <c r="M27" s="10">
        <f>E27+(20-1)*F27</f>
        <v>113.0</v>
      </c>
      <c r="N27" s="11">
        <f>G27+(20-15)*H27</f>
        <v>45.0</v>
      </c>
      <c r="O27" s="7" t="str">
        <f>IF(AND(I27&lt;=J27,I27&lt;=K27),"普通快递",IF(J27&lt;=K27,"顺丰快递","安能物流"))</f>
        <v>普通快递</v>
      </c>
      <c r="P27" s="7" t="str">
        <f>IF(AND(L27&lt;=M27,L27&lt;=N27),"普通快递",IF(M27&lt;=N27,"顺丰快递","安能物流"))</f>
        <v>安能物流</v>
      </c>
    </row>
    <row r="28">
      <c r="A28" s="7" t="n">
        <v>25</v>
      </c>
      <c r="B28" s="8" t="inlineStr">
        <is>
          <t>湖南</t>
        </is>
      </c>
      <c r="C28" s="9" t="n">
        <v>12</v>
      </c>
      <c r="D28" s="9" t="n">
        <v>5</v>
      </c>
      <c r="E28" s="10" t="n">
        <v>18</v>
      </c>
      <c r="F28" s="10" t="n">
        <v>5</v>
      </c>
      <c r="G28" s="11" t="n">
        <v>38</v>
      </c>
      <c r="H28" s="11" t="n">
        <v>1.4</v>
      </c>
      <c r="I28" s="9">
        <f>C28+(5-1)*D28</f>
        <v>32.0</v>
      </c>
      <c r="J28" s="10">
        <f>E28+(5-1)*F28</f>
        <v>38.0</v>
      </c>
      <c r="K28" s="11">
        <f>G28</f>
        <v>38</v>
      </c>
      <c r="L28" s="9">
        <f>C28+(20-1)*D28</f>
        <v>107.0</v>
      </c>
      <c r="M28" s="10">
        <f>E28+(20-1)*F28</f>
        <v>113.0</v>
      </c>
      <c r="N28" s="11">
        <f>G28+(20-15)*H28</f>
        <v>45.0</v>
      </c>
      <c r="O28" s="7" t="str">
        <f>IF(AND(I28&lt;=J28,I28&lt;=K28),"普通快递",IF(J28&lt;=K28,"顺丰快递","安能物流"))</f>
        <v>普通快递</v>
      </c>
      <c r="P28" s="7" t="str">
        <f>IF(AND(L28&lt;=M28,L28&lt;=N28),"普通快递",IF(M28&lt;=N28,"顺丰快递","安能物流"))</f>
        <v>安能物流</v>
      </c>
    </row>
    <row r="29">
      <c r="A29" s="7" t="n">
        <v>26</v>
      </c>
      <c r="B29" s="8" t="inlineStr">
        <is>
          <t>江西</t>
        </is>
      </c>
      <c r="C29" s="9" t="n">
        <v>12</v>
      </c>
      <c r="D29" s="9" t="n">
        <v>5</v>
      </c>
      <c r="E29" s="10" t="n">
        <v>18</v>
      </c>
      <c r="F29" s="10" t="n">
        <v>5</v>
      </c>
      <c r="G29" s="11" t="n">
        <v>38</v>
      </c>
      <c r="H29" s="11" t="n">
        <v>1.4</v>
      </c>
      <c r="I29" s="9">
        <f>C29+(5-1)*D29</f>
        <v>32.0</v>
      </c>
      <c r="J29" s="10">
        <f>E29+(5-1)*F29</f>
        <v>38.0</v>
      </c>
      <c r="K29" s="11">
        <f>G29</f>
        <v>38</v>
      </c>
      <c r="L29" s="9">
        <f>C29+(20-1)*D29</f>
        <v>107.0</v>
      </c>
      <c r="M29" s="10">
        <f>E29+(20-1)*F29</f>
        <v>113.0</v>
      </c>
      <c r="N29" s="11">
        <f>G29+(20-15)*H29</f>
        <v>45.0</v>
      </c>
      <c r="O29" s="7" t="str">
        <f>IF(AND(I29&lt;=J29,I29&lt;=K29),"普通快递",IF(J29&lt;=K29,"顺丰快递","安能物流"))</f>
        <v>普通快递</v>
      </c>
      <c r="P29" s="7" t="str">
        <f>IF(AND(L29&lt;=M29,L29&lt;=N29),"普通快递",IF(M29&lt;=N29,"顺丰快递","安能物流"))</f>
        <v>安能物流</v>
      </c>
    </row>
    <row r="30">
      <c r="A30" s="7" t="n">
        <v>27</v>
      </c>
      <c r="B30" s="8" t="inlineStr">
        <is>
          <t>天津</t>
        </is>
      </c>
      <c r="C30" s="9" t="n">
        <v>12</v>
      </c>
      <c r="D30" s="9" t="n">
        <v>5</v>
      </c>
      <c r="E30" s="10" t="n">
        <v>18</v>
      </c>
      <c r="F30" s="10" t="n">
        <v>5</v>
      </c>
      <c r="G30" s="11" t="n">
        <v>35</v>
      </c>
      <c r="H30" s="11" t="n">
        <v>1.3</v>
      </c>
      <c r="I30" s="9">
        <f>C30+(5-1)*D30</f>
        <v>32.0</v>
      </c>
      <c r="J30" s="10">
        <f>E30+(5-1)*F30</f>
        <v>38.0</v>
      </c>
      <c r="K30" s="11">
        <f>G30</f>
        <v>35</v>
      </c>
      <c r="L30" s="9">
        <f>C30+(20-1)*D30</f>
        <v>107.0</v>
      </c>
      <c r="M30" s="10">
        <f>E30+(20-1)*F30</f>
        <v>113.0</v>
      </c>
      <c r="N30" s="11">
        <f>G30+(20-15)*H30</f>
        <v>41.5</v>
      </c>
      <c r="O30" s="7" t="str">
        <f>IF(AND(I30&lt;=J30,I30&lt;=K30),"普通快递",IF(J30&lt;=K30,"顺丰快递","安能物流"))</f>
        <v>普通快递</v>
      </c>
      <c r="P30" s="7" t="str">
        <f>IF(AND(L30&lt;=M30,L30&lt;=N30),"普通快递",IF(M30&lt;=N30,"顺丰快递","安能物流"))</f>
        <v>安能物流</v>
      </c>
    </row>
    <row r="31">
      <c r="A31" s="7" t="n">
        <v>28</v>
      </c>
      <c r="B31" s="8" t="inlineStr">
        <is>
          <t>安徽</t>
        </is>
      </c>
      <c r="C31" s="9" t="n">
        <v>12</v>
      </c>
      <c r="D31" s="9" t="n">
        <v>5</v>
      </c>
      <c r="E31" s="10" t="n">
        <v>18</v>
      </c>
      <c r="F31" s="10" t="n">
        <v>5</v>
      </c>
      <c r="G31" s="11" t="n">
        <v>33</v>
      </c>
      <c r="H31" s="11" t="n">
        <v>1</v>
      </c>
      <c r="I31" s="9">
        <f>C31+(5-1)*D31</f>
        <v>32.0</v>
      </c>
      <c r="J31" s="10">
        <f>E31+(5-1)*F31</f>
        <v>38.0</v>
      </c>
      <c r="K31" s="11">
        <f>G31</f>
        <v>33</v>
      </c>
      <c r="L31" s="9">
        <f>C31+(20-1)*D31</f>
        <v>107.0</v>
      </c>
      <c r="M31" s="10">
        <f>E31+(20-1)*F31</f>
        <v>113.0</v>
      </c>
      <c r="N31" s="11">
        <f>G31+(20-15)*H31</f>
        <v>38.0</v>
      </c>
      <c r="O31" s="7" t="str">
        <f>IF(AND(I31&lt;=J31,I31&lt;=K31),"普通快递",IF(J31&lt;=K31,"顺丰快递","安能物流"))</f>
        <v>普通快递</v>
      </c>
      <c r="P31" s="7" t="str">
        <f>IF(AND(L31&lt;=M31,L31&lt;=N31),"普通快递",IF(M31&lt;=N31,"顺丰快递","安能物流"))</f>
        <v>安能物流</v>
      </c>
    </row>
    <row r="32">
      <c r="A32" s="7" t="n">
        <v>29</v>
      </c>
      <c r="B32" s="8" t="inlineStr">
        <is>
          <t>江苏</t>
        </is>
      </c>
      <c r="C32" s="9" t="n">
        <v>12</v>
      </c>
      <c r="D32" s="9" t="n">
        <v>5</v>
      </c>
      <c r="E32" s="10" t="n">
        <v>18</v>
      </c>
      <c r="F32" s="10" t="n">
        <v>6</v>
      </c>
      <c r="G32" s="11" t="n">
        <v>33</v>
      </c>
      <c r="H32" s="11" t="n">
        <v>1</v>
      </c>
      <c r="I32" s="9">
        <f>C32+(5-1)*D32</f>
        <v>32.0</v>
      </c>
      <c r="J32" s="10">
        <f>E32+(5-1)*F32</f>
        <v>42.0</v>
      </c>
      <c r="K32" s="11">
        <f>G32</f>
        <v>33</v>
      </c>
      <c r="L32" s="9">
        <f>C32+(20-1)*D32</f>
        <v>107.0</v>
      </c>
      <c r="M32" s="10">
        <f>E32+(20-1)*F32</f>
        <v>132.0</v>
      </c>
      <c r="N32" s="11">
        <f>G32+(20-15)*H32</f>
        <v>38.0</v>
      </c>
      <c r="O32" s="7" t="str">
        <f>IF(AND(I32&lt;=J32,I32&lt;=K32),"普通快递",IF(J32&lt;=K32,"顺丰快递","安能物流"))</f>
        <v>普通快递</v>
      </c>
      <c r="P32" s="7" t="str">
        <f>IF(AND(L32&lt;=M32,L32&lt;=N32),"普通快递",IF(M32&lt;=N32,"顺丰快递","安能物流"))</f>
        <v>安能物流</v>
      </c>
    </row>
    <row r="33">
      <c r="A33" s="7" t="n">
        <v>30</v>
      </c>
      <c r="B33" s="8" t="inlineStr">
        <is>
          <t>上海</t>
        </is>
      </c>
      <c r="C33" s="9" t="n">
        <v>12</v>
      </c>
      <c r="D33" s="9" t="n">
        <v>5</v>
      </c>
      <c r="E33" s="10" t="n">
        <v>18</v>
      </c>
      <c r="F33" s="10" t="n">
        <v>6</v>
      </c>
      <c r="G33" s="11" t="n">
        <v>35</v>
      </c>
      <c r="H33" s="11" t="n">
        <v>1</v>
      </c>
      <c r="I33" s="9">
        <f>C33+(5-1)*D33</f>
        <v>32.0</v>
      </c>
      <c r="J33" s="10">
        <f>E33+(5-1)*F33</f>
        <v>42.0</v>
      </c>
      <c r="K33" s="11">
        <f>G33</f>
        <v>35</v>
      </c>
      <c r="L33" s="9">
        <f>C33+(20-1)*D33</f>
        <v>107.0</v>
      </c>
      <c r="M33" s="10">
        <f>E33+(20-1)*F33</f>
        <v>132.0</v>
      </c>
      <c r="N33" s="11">
        <f>G33+(20-15)*H33</f>
        <v>40.0</v>
      </c>
      <c r="O33" s="7" t="str">
        <f>IF(AND(I33&lt;=J33,I33&lt;=K33),"普通快递",IF(J33&lt;=K33,"顺丰快递","安能物流"))</f>
        <v>普通快递</v>
      </c>
      <c r="P33" s="7" t="str">
        <f>IF(AND(L33&lt;=M33,L33&lt;=N33),"普通快递",IF(M33&lt;=N33,"顺丰快递","安能物流"))</f>
        <v>安能物流</v>
      </c>
    </row>
    <row r="34">
      <c r="A34" s="7" t="n">
        <v>31</v>
      </c>
      <c r="B34" s="8" t="inlineStr">
        <is>
          <t>浙江</t>
        </is>
      </c>
      <c r="C34" s="9" t="n">
        <v>12</v>
      </c>
      <c r="D34" s="9" t="n">
        <v>5</v>
      </c>
      <c r="E34" s="10" t="n">
        <v>18</v>
      </c>
      <c r="F34" s="10" t="n">
        <v>6</v>
      </c>
      <c r="G34" s="11" t="n">
        <v>33</v>
      </c>
      <c r="H34" s="11" t="n">
        <v>1</v>
      </c>
      <c r="I34" s="9">
        <f>C34+(5-1)*D34</f>
        <v>32.0</v>
      </c>
      <c r="J34" s="10">
        <f>E34+(5-1)*F34</f>
        <v>42.0</v>
      </c>
      <c r="K34" s="11">
        <f>G34</f>
        <v>33</v>
      </c>
      <c r="L34" s="9">
        <f>C34+(20-1)*D34</f>
        <v>107.0</v>
      </c>
      <c r="M34" s="10">
        <f>E34+(20-1)*F34</f>
        <v>132.0</v>
      </c>
      <c r="N34" s="11">
        <f>G34+(20-15)*H34</f>
        <v>38.0</v>
      </c>
      <c r="O34" s="7" t="str">
        <f>IF(AND(I34&lt;=J34,I34&lt;=K34),"普通快递",IF(J34&lt;=K34,"顺丰快递","安能物流"))</f>
        <v>普通快递</v>
      </c>
      <c r="P34" s="7" t="str">
        <f>IF(AND(L34&lt;=M34,L34&lt;=N34),"普通快递",IF(M34&lt;=N34,"顺丰快递","安能物流"))</f>
        <v>安能物流</v>
      </c>
    </row>
    <row r="35">
      <c r="A35" s="12" t="inlineStr">
        <is>
          <t>—</t>
        </is>
      </c>
      <c r="B35" s="13" t="inlineStr">
        <is>
          <t>未列出地区（系统兜底）</t>
        </is>
      </c>
      <c r="C35" s="14" t="n">
        <v>12</v>
      </c>
      <c r="D35" s="14" t="n">
        <v>5</v>
      </c>
      <c r="E35" s="14" t="n">
        <v>18</v>
      </c>
      <c r="F35" s="14" t="n">
        <v>5</v>
      </c>
      <c r="G35" s="14" t="n">
        <v>50</v>
      </c>
      <c r="H35" s="14" t="n">
        <v>3</v>
      </c>
      <c r="I35" s="14">
        <f>C35+(5-1)*D35</f>
        <v>32.0</v>
      </c>
      <c r="J35" s="14">
        <f>E35+(5-1)*F35</f>
        <v>38.0</v>
      </c>
      <c r="K35" s="14">
        <f>G35</f>
        <v>50</v>
      </c>
      <c r="L35" s="14">
        <f>C35+(20-1)*D35</f>
        <v>107.0</v>
      </c>
      <c r="M35" s="14">
        <f>E35+(20-1)*F35</f>
        <v>113.0</v>
      </c>
      <c r="N35" s="14">
        <f>G35+(20-15)*H35</f>
        <v>65.0</v>
      </c>
      <c r="O35" s="12" t="str">
        <f>IF(AND(I35&lt;=J35,I35&lt;=K35),"普通快递",IF(J35&lt;=K35,"顺丰快递","安能物流"))</f>
        <v>普通快递</v>
      </c>
      <c r="P35" s="12" t="str">
        <f>IF(AND(L35&lt;=M35,L35&lt;=N35),"普通快递",IF(M35&lt;=N35,"顺丰快递","安能物流"))</f>
        <v>安能物流</v>
      </c>
    </row>
    <row r="36">
      <c r="B36" s="2" t="inlineStr">
        <is>
          <t>↑ 系统里没匹配到省份时用这一行的价格（App.tsx 兜底值），平时不应对客户使用。</t>
        </is>
      </c>
    </row>
  </sheetData>
  <autoFilter ref="A3:P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52" customWidth="1" min="4" max="4"/>
  </cols>
  <sheetData>
    <row r="1">
      <c r="A1" s="1" t="inlineStr">
        <is>
          <t>运费试算（三家同时比价）</t>
        </is>
      </c>
    </row>
    <row r="2">
      <c r="A2" s="2" t="inlineStr">
        <is>
          <t>改蓝色区域的三个输入值，下方运费自动算出，口径与下单时系统算的完全一致。</t>
        </is>
      </c>
    </row>
    <row r="4">
      <c r="B4" s="15" t="inlineStr">
        <is>
          <t>收货省份 / 地区</t>
        </is>
      </c>
      <c r="C4" s="16" t="inlineStr">
        <is>
          <t>浙江</t>
        </is>
      </c>
      <c r="D4" s="2" t="inlineStr">
        <is>
          <t>从下拉里选</t>
        </is>
      </c>
    </row>
    <row r="5">
      <c r="B5" s="15" t="inlineStr">
        <is>
          <t>计费重量（kg）</t>
        </is>
      </c>
      <c r="C5" s="17" t="n">
        <v>2.5</v>
      </c>
      <c r="D5" s="2" t="inlineStr">
        <is>
          <t>普通/顺丰向上取整到整数 kg；安能只有 &gt;15kg 部分才计续重</t>
        </is>
      </c>
    </row>
    <row r="6">
      <c r="B6" s="15" t="inlineStr">
        <is>
          <t>是否超长（型材&gt;1500mm）</t>
        </is>
      </c>
      <c r="C6" s="16" t="inlineStr">
        <is>
          <t>否</t>
        </is>
      </c>
      <c r="D6" s="2" t="inlineStr">
        <is>
          <t>是 / 否；仅普通与顺丰每件加 ¥20，安能不加</t>
        </is>
      </c>
    </row>
    <row r="8">
      <c r="B8" s="18" t="inlineStr">
        <is>
          <t>项目</t>
        </is>
      </c>
      <c r="C8" s="18" t="inlineStr">
        <is>
          <t>金额 / 结论</t>
        </is>
      </c>
    </row>
    <row r="9">
      <c r="B9" s="19" t="inlineStr">
        <is>
          <t>普通快递运费</t>
        </is>
      </c>
      <c r="C9" s="20">
        <f>IF($C$4="","",IFERROR(VLOOKUP($C$4,运费价格表!$B:$H,2,FALSE)+(MAX(1,CEILING($C$5,1))-1)*VLOOKUP($C$4,运费价格表!$B:$H,3,FALSE),0)+IF($C$6="是",20,0))</f>
        <v>22.0</v>
      </c>
    </row>
    <row r="10">
      <c r="B10" s="19" t="inlineStr">
        <is>
          <t>顺丰快递运费</t>
        </is>
      </c>
      <c r="C10" s="20">
        <f>IF($C$4="","",IFERROR(VLOOKUP($C$4,运费价格表!$B:$H,4,FALSE)+(MAX(1,CEILING($C$5,1))-1)*VLOOKUP($C$4,运费价格表!$B:$H,5,FALSE),0)+IF($C$6="是",20,0))</f>
        <v>30.0</v>
      </c>
    </row>
    <row r="11">
      <c r="B11" s="19" t="inlineStr">
        <is>
          <t>安能物流运费</t>
        </is>
      </c>
      <c r="C11" s="21">
        <f>IF($C$4="","",IFERROR(IF($C$5&lt;=15,VLOOKUP($C$4,运费价格表!$B:$H,6,FALSE),VLOOKUP($C$4,运费价格表!$B:$H,6,FALSE)+CEILING($C$5-15,1)*VLOOKUP($C$4,运费价格表!$B:$H,7,FALSE)),0))</f>
        <v>33</v>
      </c>
    </row>
    <row r="12">
      <c r="B12" s="19" t="inlineStr">
        <is>
          <t>系统自动选哪家</t>
        </is>
      </c>
      <c r="C12" s="22" t="str">
        <f>IF($C$4="","",IF(AND(C9&lt;=C10,C9&lt;=C11),"普通快递",IF(C10&lt;=C11,"顺丰快递","安能物流")))</f>
        <v>普通快递</v>
      </c>
    </row>
    <row r="13">
      <c r="B13" s="19" t="inlineStr">
        <is>
          <t>最低运费</t>
        </is>
      </c>
      <c r="C13" s="20">
        <f>IF($C$4="","",MIN(C9,C10,C11))</f>
        <v>22.0</v>
      </c>
    </row>
    <row r="14">
      <c r="B14" s="19" t="inlineStr">
        <is>
          <t>比最贵的一家省</t>
        </is>
      </c>
      <c r="C14" s="20">
        <f>IF($C$4="","",MAX(C9,C10,C11)-MIN(C9,C10,C11))</f>
        <v>11.0</v>
      </c>
    </row>
    <row r="15">
      <c r="B15" s="19" t="inlineStr">
        <is>
          <t>其中超长费（普通/顺丰才收）</t>
        </is>
      </c>
      <c r="C15" s="20">
        <f>IF($C$4="","",IF($C$6="是",20,0))</f>
        <v>0</v>
      </c>
    </row>
    <row r="17">
      <c r="B17" s="23" t="inlineStr">
        <is>
          <t>计费口径：</t>
        </is>
      </c>
      <c r="C17" s="2" t="inlineStr">
        <is>
          <t>普通/顺丰 = 首重 + (向上取整到整数kg − 1) × 续重 + 超长费；安能 = ≤15kg 收首重一口价，超过部分 = 首重 + 向上取整(重量−15) × 续重，安能不收超长费。</t>
        </is>
      </c>
    </row>
  </sheetData>
  <dataValidations count="2">
    <dataValidation sqref="C4" showDropDown="0" showInputMessage="0" showErrorMessage="0" allowBlank="1" type="list">
      <formula1>="西藏,新疆,内蒙,黑龙江,吉林,甘肃,宁夏,青海,重庆,广西,贵州,海南,辽宁,四川,云南,福建,广东,山东,山西,陕西,北京,河北,河南,湖北,湖南,江西,天津,安徽,江苏,上海,浙江,未列出地区（系统兜底）"</formula1>
    </dataValidation>
    <dataValidation sqref="C6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" t="inlineStr">
        <is>
          <t>计费说明与数据来源</t>
        </is>
      </c>
    </row>
    <row r="3" ht="34" customHeight="1">
      <c r="A3" s="24" t="inlineStr">
        <is>
          <t>数据来源</t>
        </is>
      </c>
      <c r="B3" s="25" t="inlineStr">
        <is>
          <t>constants.ts → SHIPPING_RATES（普通快递）、SHIPPING_RATES_SF（顺丰）、SHIPPING_RATES_AN（安能）；各 31 个省份/地区，本表与其逐字一致。</t>
        </is>
      </c>
    </row>
    <row r="4" ht="34" customHeight="1">
      <c r="A4" s="24" t="inlineStr">
        <is>
          <t>普通 / 顺丰</t>
        </is>
      </c>
      <c r="B4" s="25" t="inlineStr">
        <is>
          <t>运费 = 首重价 + (向上取整到整数的计费重量 − 1) × 续重价 + 超长费。重量不足 1kg 按 1kg 计（例如 2.5kg 按 3kg 算）。</t>
        </is>
      </c>
    </row>
    <row r="5" ht="34" customHeight="1">
      <c r="A5" s="24" t="inlineStr">
        <is>
          <t>安能物流</t>
        </is>
      </c>
      <c r="B5" s="25" t="inlineStr">
        <is>
          <t>≤15kg 一律收「首重」这一口价；&gt;15kg 时 = 首重 + 向上取整(重量−15) × 续重。安能不收超长费，所以长型材、重货走安能往往更划算。</t>
        </is>
      </c>
    </row>
    <row r="6" ht="34" customHeight="1">
      <c r="A6" s="24" t="inlineStr">
        <is>
          <t>超长费</t>
        </is>
      </c>
      <c r="B6" s="25" t="inlineStr">
        <is>
          <t>型材长度 &gt; 1500mm 时，普通快递与顺丰每件加收 ¥20；安能不加。到付（sf_collect）系统运费为 0，由收货方自付。</t>
        </is>
      </c>
    </row>
    <row r="7" ht="34" customHeight="1">
      <c r="A7" s="24" t="inlineStr">
        <is>
          <t>代码实现</t>
        </is>
      </c>
      <c r="B7" s="25" t="inlineStr">
        <is>
          <t>App.tsx 的 calcShippingForMethod（standard / sf / anneng / sf_collect）；cheapest 判定为「普通 ≤ 顺丰 且 普通 ≤ 安能 → 普通，否则顺丰 ≤ 安能 → 顺丰，否则安能」，本表同一口径。</t>
        </is>
      </c>
    </row>
    <row r="8" ht="34" customHeight="1">
      <c r="A8" s="24" t="inlineStr">
        <is>
          <t>下单时实际收多少</t>
        </is>
      </c>
      <c r="B8" s="25" t="inlineStr">
        <is>
          <t>购物车会在三者里自动取最低价给客户；客户选「到付」时系统运费为 0，收货时自付。</t>
        </is>
      </c>
    </row>
    <row r="9" ht="34" customHeight="1">
      <c r="A9" s="24" t="inlineStr">
        <is>
          <t>典型拐点</t>
        </is>
      </c>
      <c r="B9" s="25" t="inlineStr">
        <is>
          <t>浙江为例：20kg 时普通 ¥107、顺丰 ¥132、安能只要 ¥38（含 15kg 内一口价 ¥33）；反过来 3kg 时普通 ¥22、安能仍是 ¥33，所以小件几乎不会走安能。</t>
        </is>
      </c>
    </row>
    <row r="10" ht="34" customHeight="1">
      <c r="A10" s="24" t="inlineStr">
        <is>
          <t>港澳台与境外</t>
        </is>
      </c>
      <c r="B10" s="25" t="inlineStr">
        <is>
          <t>不在本表 31 个地区内。走转运仓发货：运费按转运仓所在省份计算，内地到转运仓段由我方承担，转运仓到境外段由客户承担。</t>
        </is>
      </c>
    </row>
    <row r="11" ht="34" customHeight="1">
      <c r="A11" s="24" t="inlineStr">
        <is>
          <t>✅ 已修正（2026-10-29）</t>
        </is>
      </c>
      <c r="B11" s="25" t="inlineStr">
        <is>
          <t>安能山西原录 ¥110，店主确认应为 ¥38（与福建、广东同为 38 档），已改 constants.ts；江苏顺丰由 ¥19/¥7 改为 ¥18/¥6（同上海、浙江）；本表已是修正后的价格。</t>
        </is>
      </c>
    </row>
    <row r="12" ht="34" customHeight="1">
      <c r="A12" s="24" t="inlineStr">
        <is>
          <t>⚠ 仍需核对 1</t>
        </is>
      </c>
      <c r="B12" s="25" t="inlineStr">
        <is>
          <t>山西顺丰 ¥19/¥6，同片陕西 ¥18/¥5，偏高 1 元，至今未确认是否笔误。</t>
        </is>
      </c>
    </row>
    <row r="13" ht="34" customHeight="1">
      <c r="A13" s="24" t="inlineStr">
        <is>
          <t>✅ 兜底价已修正（2026-10-29）</t>
        </is>
      </c>
      <c r="B13" s="25" t="inlineStr">
        <is>
          <t>省份在表里查不到时，系统兜底用「普通 ¥12/¥5、顺丰 ¥18/¥5、安能 ¥50/¥3」——顺丰兜底首重原为 ¥15、普通兜底首重原为 ¥18（均按店主 10-29 确认调整），现在不会再因未匹配省份而明显多收/少收运费。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萌开了家居</dc:creator>
  <dc:title>萌开了家居 运费价格表（普通快递·顺丰·安能）</dc:title>
  <dcterms:created xsi:type="dcterms:W3CDTF">2026-10-29T10:43:33Z</dcterms:created>
  <dcterms:modified xsi:type="dcterms:W3CDTF">2026-10-29T10:43:33Z</dcterms:modified>
</cp:coreProperties>
</file>