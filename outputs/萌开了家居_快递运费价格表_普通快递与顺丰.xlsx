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快递价格表" sheetId="1" state="visible" r:id="rId1"/>
    <sheet name="运费试算" sheetId="2" state="visible" r:id="rId2"/>
    <sheet name="计费说明" sheetId="3" state="visible" r:id="rId3"/>
  </sheets>
  <definedNames>
    <definedName name="_xlnm._FilterDatabase" localSheetId="0" hidden="1">'快递价格表'!$A$3:$I$35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FF2F5597"/>
      <sz val="15"/>
    </font>
    <font>
      <color rgb="FF9C6500"/>
      <sz val="9"/>
    </font>
    <font>
      <b val="1"/>
      <color rgb="FFFFFFFF"/>
    </font>
    <font>
      <b val="1"/>
      <color rgb="FF9C6500"/>
    </font>
    <font>
      <b val="1"/>
    </font>
    <font>
      <b val="1"/>
      <color rgb="FF2F5597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pivotButton="0" quotePrefix="0" xfId="0"/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6" fillId="0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萌开了家居 快递运费价格表（普通快递·顺丰）</t>
        </is>
      </c>
    </row>
    <row r="2">
      <c r="A2" s="2" t="inlineStr">
        <is>
          <t>数据来源：网站 constants.ts（SHIPPING_RATES / SHIPPING_RATES_SF），导出日期 2026-10-24；运费逻辑同 App.tsx 的 calcShippingForMethod。</t>
        </is>
      </c>
    </row>
    <row r="3" ht="30" customHeight="1">
      <c r="A3" s="3" t="inlineStr">
        <is>
          <t>序号</t>
        </is>
      </c>
      <c r="B3" s="3" t="inlineStr">
        <is>
          <t>省份 / 地区</t>
        </is>
      </c>
      <c r="C3" s="3" t="inlineStr">
        <is>
          <t>普通快递 首重1kg(¥)</t>
        </is>
      </c>
      <c r="D3" s="3" t="inlineStr">
        <is>
          <t>普通快递 续重每kg(¥)</t>
        </is>
      </c>
      <c r="E3" s="3" t="inlineStr">
        <is>
          <t>顺丰快递 首重1kg(¥)</t>
        </is>
      </c>
      <c r="F3" s="3" t="inlineStr">
        <is>
          <t>顺丰快递 续重每kg(¥)</t>
        </is>
      </c>
      <c r="G3" s="3" t="inlineStr">
        <is>
          <t>5kg运费 普通(¥)</t>
        </is>
      </c>
      <c r="H3" s="3" t="inlineStr">
        <is>
          <t>5kg运费 顺丰(¥)</t>
        </is>
      </c>
      <c r="I3" s="3" t="inlineStr">
        <is>
          <t>5kg更低的一家</t>
        </is>
      </c>
    </row>
    <row r="4">
      <c r="A4" s="4" t="n">
        <v>1</v>
      </c>
      <c r="B4" s="5" t="inlineStr">
        <is>
          <t>西藏</t>
        </is>
      </c>
      <c r="C4" s="6" t="n">
        <v>24</v>
      </c>
      <c r="D4" s="6" t="n">
        <v>12</v>
      </c>
      <c r="E4" s="6" t="n">
        <v>25</v>
      </c>
      <c r="F4" s="6" t="n">
        <v>19</v>
      </c>
      <c r="G4" s="6">
        <f>C4+(5-1)*D4</f>
        <v>72.0</v>
      </c>
      <c r="H4" s="6">
        <f>E4+(5-1)*F4</f>
        <v>101.0</v>
      </c>
      <c r="I4" s="4" t="str">
        <f>IF(C4="","",IF(G4&lt;H4,"普通快递",IF(H4&lt;G4,"顺丰快递","两者相同")))</f>
        <v>普通快递</v>
      </c>
    </row>
    <row r="5">
      <c r="A5" s="4" t="n">
        <v>2</v>
      </c>
      <c r="B5" s="5" t="inlineStr">
        <is>
          <t>新疆</t>
        </is>
      </c>
      <c r="C5" s="6" t="n">
        <v>20</v>
      </c>
      <c r="D5" s="6" t="n">
        <v>8</v>
      </c>
      <c r="E5" s="6" t="n">
        <v>20</v>
      </c>
      <c r="F5" s="6" t="n">
        <v>10</v>
      </c>
      <c r="G5" s="6">
        <f>C5+(5-1)*D5</f>
        <v>52.0</v>
      </c>
      <c r="H5" s="6">
        <f>E5+(5-1)*F5</f>
        <v>60.0</v>
      </c>
      <c r="I5" s="4" t="str">
        <f>IF(C5="","",IF(G5&lt;H5,"普通快递",IF(H5&lt;G5,"顺丰快递","两者相同")))</f>
        <v>普通快递</v>
      </c>
    </row>
    <row r="6">
      <c r="A6" s="4" t="n">
        <v>3</v>
      </c>
      <c r="B6" s="5" t="inlineStr">
        <is>
          <t>内蒙</t>
        </is>
      </c>
      <c r="C6" s="6" t="n">
        <v>16</v>
      </c>
      <c r="D6" s="6" t="n">
        <v>6</v>
      </c>
      <c r="E6" s="6" t="n">
        <v>18</v>
      </c>
      <c r="F6" s="6" t="n">
        <v>5</v>
      </c>
      <c r="G6" s="6">
        <f>C6+(5-1)*D6</f>
        <v>40.0</v>
      </c>
      <c r="H6" s="6">
        <f>E6+(5-1)*F6</f>
        <v>38.0</v>
      </c>
      <c r="I6" s="4" t="str">
        <f>IF(C6="","",IF(G6&lt;H6,"普通快递",IF(H6&lt;G6,"顺丰快递","两者相同")))</f>
        <v>顺丰快递</v>
      </c>
    </row>
    <row r="7">
      <c r="A7" s="4" t="n">
        <v>4</v>
      </c>
      <c r="B7" s="5" t="inlineStr">
        <is>
          <t>黑龙江</t>
        </is>
      </c>
      <c r="C7" s="6" t="n">
        <v>15</v>
      </c>
      <c r="D7" s="6" t="n">
        <v>6</v>
      </c>
      <c r="E7" s="6" t="n">
        <v>18</v>
      </c>
      <c r="F7" s="6" t="n">
        <v>6</v>
      </c>
      <c r="G7" s="6">
        <f>C7+(5-1)*D7</f>
        <v>39.0</v>
      </c>
      <c r="H7" s="6">
        <f>E7+(5-1)*F7</f>
        <v>42.0</v>
      </c>
      <c r="I7" s="4" t="str">
        <f>IF(C7="","",IF(G7&lt;H7,"普通快递",IF(H7&lt;G7,"顺丰快递","两者相同")))</f>
        <v>普通快递</v>
      </c>
    </row>
    <row r="8">
      <c r="A8" s="4" t="n">
        <v>5</v>
      </c>
      <c r="B8" s="5" t="inlineStr">
        <is>
          <t>吉林</t>
        </is>
      </c>
      <c r="C8" s="6" t="n">
        <v>15</v>
      </c>
      <c r="D8" s="6" t="n">
        <v>6</v>
      </c>
      <c r="E8" s="6" t="n">
        <v>18</v>
      </c>
      <c r="F8" s="6" t="n">
        <v>5</v>
      </c>
      <c r="G8" s="6">
        <f>C8+(5-1)*D8</f>
        <v>39.0</v>
      </c>
      <c r="H8" s="6">
        <f>E8+(5-1)*F8</f>
        <v>38.0</v>
      </c>
      <c r="I8" s="4" t="str">
        <f>IF(C8="","",IF(G8&lt;H8,"普通快递",IF(H8&lt;G8,"顺丰快递","两者相同")))</f>
        <v>顺丰快递</v>
      </c>
    </row>
    <row r="9">
      <c r="A9" s="4" t="n">
        <v>6</v>
      </c>
      <c r="B9" s="5" t="inlineStr">
        <is>
          <t>甘肃</t>
        </is>
      </c>
      <c r="C9" s="6" t="n">
        <v>17</v>
      </c>
      <c r="D9" s="6" t="n">
        <v>6</v>
      </c>
      <c r="E9" s="6" t="n">
        <v>18</v>
      </c>
      <c r="F9" s="6" t="n">
        <v>6</v>
      </c>
      <c r="G9" s="6">
        <f>C9+(5-1)*D9</f>
        <v>41.0</v>
      </c>
      <c r="H9" s="6">
        <f>E9+(5-1)*F9</f>
        <v>42.0</v>
      </c>
      <c r="I9" s="4" t="str">
        <f>IF(C9="","",IF(G9&lt;H9,"普通快递",IF(H9&lt;G9,"顺丰快递","两者相同")))</f>
        <v>普通快递</v>
      </c>
    </row>
    <row r="10">
      <c r="A10" s="4" t="n">
        <v>7</v>
      </c>
      <c r="B10" s="5" t="inlineStr">
        <is>
          <t>宁夏</t>
        </is>
      </c>
      <c r="C10" s="6" t="n">
        <v>16</v>
      </c>
      <c r="D10" s="6" t="n">
        <v>6</v>
      </c>
      <c r="E10" s="6" t="n">
        <v>18</v>
      </c>
      <c r="F10" s="6" t="n">
        <v>5</v>
      </c>
      <c r="G10" s="6">
        <f>C10+(5-1)*D10</f>
        <v>40.0</v>
      </c>
      <c r="H10" s="6">
        <f>E10+(5-1)*F10</f>
        <v>38.0</v>
      </c>
      <c r="I10" s="4" t="str">
        <f>IF(C10="","",IF(G10&lt;H10,"普通快递",IF(H10&lt;G10,"顺丰快递","两者相同")))</f>
        <v>顺丰快递</v>
      </c>
    </row>
    <row r="11">
      <c r="A11" s="4" t="n">
        <v>8</v>
      </c>
      <c r="B11" s="5" t="inlineStr">
        <is>
          <t>青海</t>
        </is>
      </c>
      <c r="C11" s="6" t="n">
        <v>17</v>
      </c>
      <c r="D11" s="6" t="n">
        <v>6</v>
      </c>
      <c r="E11" s="6" t="n">
        <v>18</v>
      </c>
      <c r="F11" s="6" t="n">
        <v>7</v>
      </c>
      <c r="G11" s="6">
        <f>C11+(5-1)*D11</f>
        <v>41.0</v>
      </c>
      <c r="H11" s="6">
        <f>E11+(5-1)*F11</f>
        <v>46.0</v>
      </c>
      <c r="I11" s="4" t="str">
        <f>IF(C11="","",IF(G11&lt;H11,"普通快递",IF(H11&lt;G11,"顺丰快递","两者相同")))</f>
        <v>普通快递</v>
      </c>
    </row>
    <row r="12">
      <c r="A12" s="4" t="n">
        <v>9</v>
      </c>
      <c r="B12" s="5" t="inlineStr">
        <is>
          <t>重庆</t>
        </is>
      </c>
      <c r="C12" s="6" t="n">
        <v>15</v>
      </c>
      <c r="D12" s="6" t="n">
        <v>6</v>
      </c>
      <c r="E12" s="6" t="n">
        <v>18</v>
      </c>
      <c r="F12" s="6" t="n">
        <v>6</v>
      </c>
      <c r="G12" s="6">
        <f>C12+(5-1)*D12</f>
        <v>39.0</v>
      </c>
      <c r="H12" s="6">
        <f>E12+(5-1)*F12</f>
        <v>42.0</v>
      </c>
      <c r="I12" s="4" t="str">
        <f>IF(C12="","",IF(G12&lt;H12,"普通快递",IF(H12&lt;G12,"顺丰快递","两者相同")))</f>
        <v>普通快递</v>
      </c>
    </row>
    <row r="13">
      <c r="A13" s="4" t="n">
        <v>10</v>
      </c>
      <c r="B13" s="5" t="inlineStr">
        <is>
          <t>广西</t>
        </is>
      </c>
      <c r="C13" s="6" t="n">
        <v>15</v>
      </c>
      <c r="D13" s="6" t="n">
        <v>6</v>
      </c>
      <c r="E13" s="6" t="n">
        <v>18</v>
      </c>
      <c r="F13" s="6" t="n">
        <v>7</v>
      </c>
      <c r="G13" s="6">
        <f>C13+(5-1)*D13</f>
        <v>39.0</v>
      </c>
      <c r="H13" s="6">
        <f>E13+(5-1)*F13</f>
        <v>46.0</v>
      </c>
      <c r="I13" s="4" t="str">
        <f>IF(C13="","",IF(G13&lt;H13,"普通快递",IF(H13&lt;G13,"顺丰快递","两者相同")))</f>
        <v>普通快递</v>
      </c>
    </row>
    <row r="14">
      <c r="A14" s="4" t="n">
        <v>11</v>
      </c>
      <c r="B14" s="5" t="inlineStr">
        <is>
          <t>贵州</t>
        </is>
      </c>
      <c r="C14" s="6" t="n">
        <v>15</v>
      </c>
      <c r="D14" s="6" t="n">
        <v>6</v>
      </c>
      <c r="E14" s="6" t="n">
        <v>18</v>
      </c>
      <c r="F14" s="6" t="n">
        <v>7</v>
      </c>
      <c r="G14" s="6">
        <f>C14+(5-1)*D14</f>
        <v>39.0</v>
      </c>
      <c r="H14" s="6">
        <f>E14+(5-1)*F14</f>
        <v>46.0</v>
      </c>
      <c r="I14" s="4" t="str">
        <f>IF(C14="","",IF(G14&lt;H14,"普通快递",IF(H14&lt;G14,"顺丰快递","两者相同")))</f>
        <v>普通快递</v>
      </c>
    </row>
    <row r="15">
      <c r="A15" s="4" t="n">
        <v>12</v>
      </c>
      <c r="B15" s="5" t="inlineStr">
        <is>
          <t>海南</t>
        </is>
      </c>
      <c r="C15" s="6" t="n">
        <v>15</v>
      </c>
      <c r="D15" s="6" t="n">
        <v>6</v>
      </c>
      <c r="E15" s="6" t="n">
        <v>18</v>
      </c>
      <c r="F15" s="6" t="n">
        <v>7</v>
      </c>
      <c r="G15" s="6">
        <f>C15+(5-1)*D15</f>
        <v>39.0</v>
      </c>
      <c r="H15" s="6">
        <f>E15+(5-1)*F15</f>
        <v>46.0</v>
      </c>
      <c r="I15" s="4" t="str">
        <f>IF(C15="","",IF(G15&lt;H15,"普通快递",IF(H15&lt;G15,"顺丰快递","两者相同")))</f>
        <v>普通快递</v>
      </c>
    </row>
    <row r="16">
      <c r="A16" s="4" t="n">
        <v>13</v>
      </c>
      <c r="B16" s="5" t="inlineStr">
        <is>
          <t>辽宁</t>
        </is>
      </c>
      <c r="C16" s="6" t="n">
        <v>15</v>
      </c>
      <c r="D16" s="6" t="n">
        <v>6</v>
      </c>
      <c r="E16" s="6" t="n">
        <v>18</v>
      </c>
      <c r="F16" s="6" t="n">
        <v>5</v>
      </c>
      <c r="G16" s="6">
        <f>C16+(5-1)*D16</f>
        <v>39.0</v>
      </c>
      <c r="H16" s="6">
        <f>E16+(5-1)*F16</f>
        <v>38.0</v>
      </c>
      <c r="I16" s="4" t="str">
        <f>IF(C16="","",IF(G16&lt;H16,"普通快递",IF(H16&lt;G16,"顺丰快递","两者相同")))</f>
        <v>顺丰快递</v>
      </c>
    </row>
    <row r="17">
      <c r="A17" s="4" t="n">
        <v>14</v>
      </c>
      <c r="B17" s="5" t="inlineStr">
        <is>
          <t>四川</t>
        </is>
      </c>
      <c r="C17" s="6" t="n">
        <v>15</v>
      </c>
      <c r="D17" s="6" t="n">
        <v>6</v>
      </c>
      <c r="E17" s="6" t="n">
        <v>18</v>
      </c>
      <c r="F17" s="6" t="n">
        <v>6</v>
      </c>
      <c r="G17" s="6">
        <f>C17+(5-1)*D17</f>
        <v>39.0</v>
      </c>
      <c r="H17" s="6">
        <f>E17+(5-1)*F17</f>
        <v>42.0</v>
      </c>
      <c r="I17" s="4" t="str">
        <f>IF(C17="","",IF(G17&lt;H17,"普通快递",IF(H17&lt;G17,"顺丰快递","两者相同")))</f>
        <v>普通快递</v>
      </c>
    </row>
    <row r="18">
      <c r="A18" s="4" t="n">
        <v>15</v>
      </c>
      <c r="B18" s="5" t="inlineStr">
        <is>
          <t>云南</t>
        </is>
      </c>
      <c r="C18" s="6" t="n">
        <v>15</v>
      </c>
      <c r="D18" s="6" t="n">
        <v>6</v>
      </c>
      <c r="E18" s="6" t="n">
        <v>18</v>
      </c>
      <c r="F18" s="6" t="n">
        <v>7</v>
      </c>
      <c r="G18" s="6">
        <f>C18+(5-1)*D18</f>
        <v>39.0</v>
      </c>
      <c r="H18" s="6">
        <f>E18+(5-1)*F18</f>
        <v>46.0</v>
      </c>
      <c r="I18" s="4" t="str">
        <f>IF(C18="","",IF(G18&lt;H18,"普通快递",IF(H18&lt;G18,"顺丰快递","两者相同")))</f>
        <v>普通快递</v>
      </c>
    </row>
    <row r="19">
      <c r="A19" s="4" t="n">
        <v>16</v>
      </c>
      <c r="B19" s="5" t="inlineStr">
        <is>
          <t>福建</t>
        </is>
      </c>
      <c r="C19" s="6" t="n">
        <v>12</v>
      </c>
      <c r="D19" s="6" t="n">
        <v>6</v>
      </c>
      <c r="E19" s="6" t="n">
        <v>18</v>
      </c>
      <c r="F19" s="6" t="n">
        <v>5</v>
      </c>
      <c r="G19" s="6">
        <f>C19+(5-1)*D19</f>
        <v>36.0</v>
      </c>
      <c r="H19" s="6">
        <f>E19+(5-1)*F19</f>
        <v>38.0</v>
      </c>
      <c r="I19" s="4" t="str">
        <f>IF(C19="","",IF(G19&lt;H19,"普通快递",IF(H19&lt;G19,"顺丰快递","两者相同")))</f>
        <v>普通快递</v>
      </c>
    </row>
    <row r="20">
      <c r="A20" s="4" t="n">
        <v>17</v>
      </c>
      <c r="B20" s="5" t="inlineStr">
        <is>
          <t>广东</t>
        </is>
      </c>
      <c r="C20" s="6" t="n">
        <v>12</v>
      </c>
      <c r="D20" s="6" t="n">
        <v>6</v>
      </c>
      <c r="E20" s="6" t="n">
        <v>18</v>
      </c>
      <c r="F20" s="6" t="n">
        <v>7</v>
      </c>
      <c r="G20" s="6">
        <f>C20+(5-1)*D20</f>
        <v>36.0</v>
      </c>
      <c r="H20" s="6">
        <f>E20+(5-1)*F20</f>
        <v>46.0</v>
      </c>
      <c r="I20" s="4" t="str">
        <f>IF(C20="","",IF(G20&lt;H20,"普通快递",IF(H20&lt;G20,"顺丰快递","两者相同")))</f>
        <v>普通快递</v>
      </c>
    </row>
    <row r="21">
      <c r="A21" s="4" t="n">
        <v>18</v>
      </c>
      <c r="B21" s="5" t="inlineStr">
        <is>
          <t>山东</t>
        </is>
      </c>
      <c r="C21" s="6" t="n">
        <v>12</v>
      </c>
      <c r="D21" s="6" t="n">
        <v>2</v>
      </c>
      <c r="E21" s="6" t="n">
        <v>13</v>
      </c>
      <c r="F21" s="6" t="n">
        <v>2</v>
      </c>
      <c r="G21" s="6">
        <f>C21+(5-1)*D21</f>
        <v>20.0</v>
      </c>
      <c r="H21" s="6">
        <f>E21+(5-1)*F21</f>
        <v>21.0</v>
      </c>
      <c r="I21" s="4" t="str">
        <f>IF(C21="","",IF(G21&lt;H21,"普通快递",IF(H21&lt;G21,"顺丰快递","两者相同")))</f>
        <v>普通快递</v>
      </c>
    </row>
    <row r="22">
      <c r="A22" s="4" t="n">
        <v>19</v>
      </c>
      <c r="B22" s="5" t="inlineStr">
        <is>
          <t>山西</t>
        </is>
      </c>
      <c r="C22" s="6" t="n">
        <v>15</v>
      </c>
      <c r="D22" s="6" t="n">
        <v>5</v>
      </c>
      <c r="E22" s="6" t="n">
        <v>19</v>
      </c>
      <c r="F22" s="6" t="n">
        <v>6</v>
      </c>
      <c r="G22" s="6">
        <f>C22+(5-1)*D22</f>
        <v>35.0</v>
      </c>
      <c r="H22" s="6">
        <f>E22+(5-1)*F22</f>
        <v>43.0</v>
      </c>
      <c r="I22" s="4" t="str">
        <f>IF(C22="","",IF(G22&lt;H22,"普通快递",IF(H22&lt;G22,"顺丰快递","两者相同")))</f>
        <v>普通快递</v>
      </c>
    </row>
    <row r="23">
      <c r="A23" s="4" t="n">
        <v>20</v>
      </c>
      <c r="B23" s="5" t="inlineStr">
        <is>
          <t>陕西</t>
        </is>
      </c>
      <c r="C23" s="6" t="n">
        <v>15</v>
      </c>
      <c r="D23" s="6" t="n">
        <v>5</v>
      </c>
      <c r="E23" s="6" t="n">
        <v>18</v>
      </c>
      <c r="F23" s="6" t="n">
        <v>5</v>
      </c>
      <c r="G23" s="6">
        <f>C23+(5-1)*D23</f>
        <v>35.0</v>
      </c>
      <c r="H23" s="6">
        <f>E23+(5-1)*F23</f>
        <v>38.0</v>
      </c>
      <c r="I23" s="4" t="str">
        <f>IF(C23="","",IF(G23&lt;H23,"普通快递",IF(H23&lt;G23,"顺丰快递","两者相同")))</f>
        <v>普通快递</v>
      </c>
    </row>
    <row r="24">
      <c r="A24" s="4" t="n">
        <v>21</v>
      </c>
      <c r="B24" s="5" t="inlineStr">
        <is>
          <t>北京</t>
        </is>
      </c>
      <c r="C24" s="6" t="n">
        <v>12</v>
      </c>
      <c r="D24" s="6" t="n">
        <v>5</v>
      </c>
      <c r="E24" s="6" t="n">
        <v>18</v>
      </c>
      <c r="F24" s="6" t="n">
        <v>5</v>
      </c>
      <c r="G24" s="6">
        <f>C24+(5-1)*D24</f>
        <v>32.0</v>
      </c>
      <c r="H24" s="6">
        <f>E24+(5-1)*F24</f>
        <v>38.0</v>
      </c>
      <c r="I24" s="4" t="str">
        <f>IF(C24="","",IF(G24&lt;H24,"普通快递",IF(H24&lt;G24,"顺丰快递","两者相同")))</f>
        <v>普通快递</v>
      </c>
    </row>
    <row r="25">
      <c r="A25" s="4" t="n">
        <v>22</v>
      </c>
      <c r="B25" s="5" t="inlineStr">
        <is>
          <t>河北</t>
        </is>
      </c>
      <c r="C25" s="6" t="n">
        <v>12</v>
      </c>
      <c r="D25" s="6" t="n">
        <v>5</v>
      </c>
      <c r="E25" s="6" t="n">
        <v>18</v>
      </c>
      <c r="F25" s="6" t="n">
        <v>5</v>
      </c>
      <c r="G25" s="6">
        <f>C25+(5-1)*D25</f>
        <v>32.0</v>
      </c>
      <c r="H25" s="6">
        <f>E25+(5-1)*F25</f>
        <v>38.0</v>
      </c>
      <c r="I25" s="4" t="str">
        <f>IF(C25="","",IF(G25&lt;H25,"普通快递",IF(H25&lt;G25,"顺丰快递","两者相同")))</f>
        <v>普通快递</v>
      </c>
    </row>
    <row r="26">
      <c r="A26" s="4" t="n">
        <v>23</v>
      </c>
      <c r="B26" s="5" t="inlineStr">
        <is>
          <t>河南</t>
        </is>
      </c>
      <c r="C26" s="6" t="n">
        <v>12</v>
      </c>
      <c r="D26" s="6" t="n">
        <v>5</v>
      </c>
      <c r="E26" s="6" t="n">
        <v>18</v>
      </c>
      <c r="F26" s="6" t="n">
        <v>5</v>
      </c>
      <c r="G26" s="6">
        <f>C26+(5-1)*D26</f>
        <v>32.0</v>
      </c>
      <c r="H26" s="6">
        <f>E26+(5-1)*F26</f>
        <v>38.0</v>
      </c>
      <c r="I26" s="4" t="str">
        <f>IF(C26="","",IF(G26&lt;H26,"普通快递",IF(H26&lt;G26,"顺丰快递","两者相同")))</f>
        <v>普通快递</v>
      </c>
    </row>
    <row r="27">
      <c r="A27" s="4" t="n">
        <v>24</v>
      </c>
      <c r="B27" s="5" t="inlineStr">
        <is>
          <t>湖北</t>
        </is>
      </c>
      <c r="C27" s="6" t="n">
        <v>12</v>
      </c>
      <c r="D27" s="6" t="n">
        <v>5</v>
      </c>
      <c r="E27" s="6" t="n">
        <v>18</v>
      </c>
      <c r="F27" s="6" t="n">
        <v>5</v>
      </c>
      <c r="G27" s="6">
        <f>C27+(5-1)*D27</f>
        <v>32.0</v>
      </c>
      <c r="H27" s="6">
        <f>E27+(5-1)*F27</f>
        <v>38.0</v>
      </c>
      <c r="I27" s="4" t="str">
        <f>IF(C27="","",IF(G27&lt;H27,"普通快递",IF(H27&lt;G27,"顺丰快递","两者相同")))</f>
        <v>普通快递</v>
      </c>
    </row>
    <row r="28">
      <c r="A28" s="4" t="n">
        <v>25</v>
      </c>
      <c r="B28" s="5" t="inlineStr">
        <is>
          <t>湖南</t>
        </is>
      </c>
      <c r="C28" s="6" t="n">
        <v>12</v>
      </c>
      <c r="D28" s="6" t="n">
        <v>5</v>
      </c>
      <c r="E28" s="6" t="n">
        <v>18</v>
      </c>
      <c r="F28" s="6" t="n">
        <v>5</v>
      </c>
      <c r="G28" s="6">
        <f>C28+(5-1)*D28</f>
        <v>32.0</v>
      </c>
      <c r="H28" s="6">
        <f>E28+(5-1)*F28</f>
        <v>38.0</v>
      </c>
      <c r="I28" s="4" t="str">
        <f>IF(C28="","",IF(G28&lt;H28,"普通快递",IF(H28&lt;G28,"顺丰快递","两者相同")))</f>
        <v>普通快递</v>
      </c>
    </row>
    <row r="29">
      <c r="A29" s="4" t="n">
        <v>26</v>
      </c>
      <c r="B29" s="5" t="inlineStr">
        <is>
          <t>江西</t>
        </is>
      </c>
      <c r="C29" s="6" t="n">
        <v>12</v>
      </c>
      <c r="D29" s="6" t="n">
        <v>5</v>
      </c>
      <c r="E29" s="6" t="n">
        <v>18</v>
      </c>
      <c r="F29" s="6" t="n">
        <v>5</v>
      </c>
      <c r="G29" s="6">
        <f>C29+(5-1)*D29</f>
        <v>32.0</v>
      </c>
      <c r="H29" s="6">
        <f>E29+(5-1)*F29</f>
        <v>38.0</v>
      </c>
      <c r="I29" s="4" t="str">
        <f>IF(C29="","",IF(G29&lt;H29,"普通快递",IF(H29&lt;G29,"顺丰快递","两者相同")))</f>
        <v>普通快递</v>
      </c>
    </row>
    <row r="30">
      <c r="A30" s="4" t="n">
        <v>27</v>
      </c>
      <c r="B30" s="5" t="inlineStr">
        <is>
          <t>天津</t>
        </is>
      </c>
      <c r="C30" s="6" t="n">
        <v>12</v>
      </c>
      <c r="D30" s="6" t="n">
        <v>5</v>
      </c>
      <c r="E30" s="6" t="n">
        <v>18</v>
      </c>
      <c r="F30" s="6" t="n">
        <v>5</v>
      </c>
      <c r="G30" s="6">
        <f>C30+(5-1)*D30</f>
        <v>32.0</v>
      </c>
      <c r="H30" s="6">
        <f>E30+(5-1)*F30</f>
        <v>38.0</v>
      </c>
      <c r="I30" s="4" t="str">
        <f>IF(C30="","",IF(G30&lt;H30,"普通快递",IF(H30&lt;G30,"顺丰快递","两者相同")))</f>
        <v>普通快递</v>
      </c>
    </row>
    <row r="31">
      <c r="A31" s="4" t="n">
        <v>28</v>
      </c>
      <c r="B31" s="5" t="inlineStr">
        <is>
          <t>安徽</t>
        </is>
      </c>
      <c r="C31" s="6" t="n">
        <v>12</v>
      </c>
      <c r="D31" s="6" t="n">
        <v>5</v>
      </c>
      <c r="E31" s="6" t="n">
        <v>18</v>
      </c>
      <c r="F31" s="6" t="n">
        <v>5</v>
      </c>
      <c r="G31" s="6">
        <f>C31+(5-1)*D31</f>
        <v>32.0</v>
      </c>
      <c r="H31" s="6">
        <f>E31+(5-1)*F31</f>
        <v>38.0</v>
      </c>
      <c r="I31" s="4" t="str">
        <f>IF(C31="","",IF(G31&lt;H31,"普通快递",IF(H31&lt;G31,"顺丰快递","两者相同")))</f>
        <v>普通快递</v>
      </c>
    </row>
    <row r="32">
      <c r="A32" s="4" t="n">
        <v>29</v>
      </c>
      <c r="B32" s="5" t="inlineStr">
        <is>
          <t>江苏</t>
        </is>
      </c>
      <c r="C32" s="6" t="n">
        <v>12</v>
      </c>
      <c r="D32" s="6" t="n">
        <v>5</v>
      </c>
      <c r="E32" s="6" t="n">
        <v>19</v>
      </c>
      <c r="F32" s="6" t="n">
        <v>7</v>
      </c>
      <c r="G32" s="6">
        <f>C32+(5-1)*D32</f>
        <v>32.0</v>
      </c>
      <c r="H32" s="6">
        <f>E32+(5-1)*F32</f>
        <v>47.0</v>
      </c>
      <c r="I32" s="4" t="str">
        <f>IF(C32="","",IF(G32&lt;H32,"普通快递",IF(H32&lt;G32,"顺丰快递","两者相同")))</f>
        <v>普通快递</v>
      </c>
    </row>
    <row r="33">
      <c r="A33" s="4" t="n">
        <v>30</v>
      </c>
      <c r="B33" s="5" t="inlineStr">
        <is>
          <t>上海</t>
        </is>
      </c>
      <c r="C33" s="6" t="n">
        <v>12</v>
      </c>
      <c r="D33" s="6" t="n">
        <v>5</v>
      </c>
      <c r="E33" s="6" t="n">
        <v>18</v>
      </c>
      <c r="F33" s="6" t="n">
        <v>6</v>
      </c>
      <c r="G33" s="6">
        <f>C33+(5-1)*D33</f>
        <v>32.0</v>
      </c>
      <c r="H33" s="6">
        <f>E33+(5-1)*F33</f>
        <v>42.0</v>
      </c>
      <c r="I33" s="4" t="str">
        <f>IF(C33="","",IF(G33&lt;H33,"普通快递",IF(H33&lt;G33,"顺丰快递","两者相同")))</f>
        <v>普通快递</v>
      </c>
    </row>
    <row r="34">
      <c r="A34" s="4" t="n">
        <v>31</v>
      </c>
      <c r="B34" s="5" t="inlineStr">
        <is>
          <t>浙江</t>
        </is>
      </c>
      <c r="C34" s="6" t="n">
        <v>12</v>
      </c>
      <c r="D34" s="6" t="n">
        <v>5</v>
      </c>
      <c r="E34" s="6" t="n">
        <v>18</v>
      </c>
      <c r="F34" s="6" t="n">
        <v>6</v>
      </c>
      <c r="G34" s="6">
        <f>C34+(5-1)*D34</f>
        <v>32.0</v>
      </c>
      <c r="H34" s="6">
        <f>E34+(5-1)*F34</f>
        <v>42.0</v>
      </c>
      <c r="I34" s="4" t="str">
        <f>IF(C34="","",IF(G34&lt;H34,"普通快递",IF(H34&lt;G34,"顺丰快递","两者相同")))</f>
        <v>普通快递</v>
      </c>
    </row>
    <row r="35">
      <c r="A35" s="7" t="inlineStr">
        <is>
          <t>—</t>
        </is>
      </c>
      <c r="B35" s="8" t="inlineStr">
        <is>
          <t>未列出地区（系统兜底）</t>
        </is>
      </c>
      <c r="C35" s="9" t="n">
        <v>18</v>
      </c>
      <c r="D35" s="9" t="n">
        <v>5</v>
      </c>
      <c r="E35" s="9" t="n">
        <v>15</v>
      </c>
      <c r="F35" s="9" t="n">
        <v>5</v>
      </c>
      <c r="G35" s="9">
        <f>C35+(5-1)*D35</f>
        <v>38.0</v>
      </c>
      <c r="H35" s="9">
        <f>E35+(5-1)*F35</f>
        <v>35.0</v>
      </c>
      <c r="I35" s="7" t="str">
        <f>IF(C35="","",IF(G35&lt;H35,"普通快递",IF(H35&lt;G35,"顺丰快递","两者相同")))</f>
        <v>顺丰快递</v>
      </c>
    </row>
    <row r="36">
      <c r="B36" s="2" t="inlineStr">
        <is>
          <t>↑ 系统里没匹配到省份时用这一行的价格（App.tsx 兜底值），平时不应对客户使用。</t>
        </is>
      </c>
    </row>
  </sheetData>
  <autoFilter ref="A3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34" customWidth="1" min="4" max="4"/>
  </cols>
  <sheetData>
    <row r="1">
      <c r="A1" s="1" t="inlineStr">
        <is>
          <t>运费试算</t>
        </is>
      </c>
    </row>
    <row r="2">
      <c r="A2" s="2" t="inlineStr">
        <is>
          <t>改蓝色区域的三个输入值，下方运费自动算出来的口径与网站完全一致。</t>
        </is>
      </c>
    </row>
    <row r="4">
      <c r="B4" s="10" t="inlineStr">
        <is>
          <t>收货省份 / 地区</t>
        </is>
      </c>
      <c r="C4" s="11" t="inlineStr">
        <is>
          <t>浙江</t>
        </is>
      </c>
      <c r="D4" s="2" t="inlineStr">
        <is>
          <t>从下拉里选</t>
        </is>
      </c>
    </row>
    <row r="5">
      <c r="B5" s="10" t="inlineStr">
        <is>
          <t>计费重量（kg）</t>
        </is>
      </c>
      <c r="C5" s="12" t="n">
        <v>2.5</v>
      </c>
      <c r="D5" s="2" t="inlineStr">
        <is>
          <t>不足 1kg 向上取整到整数</t>
        </is>
      </c>
    </row>
    <row r="6">
      <c r="B6" s="10" t="inlineStr">
        <is>
          <t>是否超长（型材&gt;1500mm）</t>
        </is>
      </c>
      <c r="C6" s="11" t="inlineStr">
        <is>
          <t>否</t>
        </is>
      </c>
      <c r="D6" s="2" t="inlineStr">
        <is>
          <t>是 / 否；走普通或顺丰每件加 ¥20</t>
        </is>
      </c>
    </row>
    <row r="8">
      <c r="B8" s="13" t="inlineStr">
        <is>
          <t>项目</t>
        </is>
      </c>
      <c r="C8" s="13" t="inlineStr">
        <is>
          <t>金额 / 结论</t>
        </is>
      </c>
    </row>
    <row r="9">
      <c r="B9" s="14" t="inlineStr">
        <is>
          <t>普通快递运费</t>
        </is>
      </c>
      <c r="C9" s="15">
        <f>IF($C$4="","",IFERROR(VLOOKUP($C$4,快递价格表!$B:$F,2,FALSE)+(MAX(1,CEILING($C$5,1))-1)*VLOOKUP($C$4,快递价格表!$B:$F,3,FALSE),0)+IF($C$6="是",20,0))</f>
        <v>22.0</v>
      </c>
    </row>
    <row r="10">
      <c r="B10" s="14" t="inlineStr">
        <is>
          <t>顺丰快递运费</t>
        </is>
      </c>
      <c r="C10" s="15">
        <f>IF($C$4="","",IFERROR(VLOOKUP($C$4,快递价格表!$B:$F,4,FALSE)+(MAX(1,CEILING($C$5,1))-1)*VLOOKUP($C$4,快递价格表!$B:$F,5,FALSE),0)+IF($C$6="是",20,0))</f>
        <v>30.0</v>
      </c>
    </row>
    <row r="11">
      <c r="B11" s="14" t="inlineStr">
        <is>
          <t>更便宜的方式</t>
        </is>
      </c>
      <c r="C11" s="16" t="str">
        <f>IF($C$4="","",IF(C9&lt;C10,"普通快递",IF(C10&lt;C9,"顺丰快递","两者相同")))</f>
        <v>普通快递</v>
      </c>
    </row>
    <row r="12">
      <c r="B12" s="14" t="inlineStr">
        <is>
          <t>两种差价（顺丰-普通）</t>
        </is>
      </c>
      <c r="C12" s="15">
        <f>IF($C$4="","",C10-C9)</f>
        <v>8.0</v>
      </c>
    </row>
    <row r="13">
      <c r="B13" s="14" t="inlineStr">
        <is>
          <t>其中超长费</t>
        </is>
      </c>
      <c r="C13" s="15">
        <f>IF($C$4="","",IF($C$6="是",20,0))</f>
        <v>0</v>
      </c>
    </row>
    <row r="15">
      <c r="B15" s="2" t="inlineStr">
        <is>
          <t>公式：运费 = 首重 + (向上取整到整数kg − 1) × 续重 + 超长费（仅普通/顺丰，¥20）；重量不足 1kg 按 1kg 计。</t>
        </is>
      </c>
    </row>
  </sheetData>
  <dataValidations count="2">
    <dataValidation sqref="C4" showDropDown="0" showInputMessage="0" showErrorMessage="0" allowBlank="1" type="list">
      <formula1>="西藏,新疆,内蒙,黑龙江,吉林,甘肃,宁夏,青海,重庆,广西,贵州,海南,辽宁,四川,云南,福建,广东,山东,山西,陕西,北京,河北,河南,湖北,湖南,江西,天津,安徽,江苏,上海,浙江,未列出地区（系统兜底）"</formula1>
    </dataValidation>
    <dataValidation sqref="C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" t="inlineStr">
        <is>
          <t>计费说明与数据来源</t>
        </is>
      </c>
    </row>
    <row r="3" ht="32" customHeight="1">
      <c r="A3" s="17" t="inlineStr">
        <is>
          <t>数据来源</t>
        </is>
      </c>
      <c r="B3" s="18" t="inlineStr">
        <is>
          <t>constants.ts → SHIPPING_RATES（普通快递）、SHIPPING_RATES_SF（顺丰）；共 31 个省份/地区，本表与其逐字一致。</t>
        </is>
      </c>
    </row>
    <row r="4" ht="32" customHeight="1">
      <c r="A4" s="17" t="inlineStr">
        <is>
          <t>计费公式</t>
        </is>
      </c>
      <c r="B4" s="18" t="inlineStr">
        <is>
          <t>运费 = 首重价 + (向上取整到整数的计费重量 − 1) × 续重价 + 超长费。重量不足 1kg 按 1kg 计，之后向上取整（例如 2.5kg 按 3kg 算）。</t>
        </is>
      </c>
    </row>
    <row r="5" ht="32" customHeight="1">
      <c r="A5" s="17" t="inlineStr">
        <is>
          <t>超长费</t>
        </is>
      </c>
      <c r="B5" s="18" t="inlineStr">
        <is>
          <t>型材长度 &gt; 1500mm 时，普通快递与顺丰每件加收 ¥20；安能物流不加超长费。</t>
        </is>
      </c>
    </row>
    <row r="6" ht="32" customHeight="1">
      <c r="A6" s="17" t="inlineStr">
        <is>
          <t>代码实现</t>
        </is>
      </c>
      <c r="B6" s="18" t="inlineStr">
        <is>
          <t>App.tsx 的 calcShippingForMethod（standard / sf / anneng / sf_collect）；续重重量按 Math.ceil 上取整。</t>
        </is>
      </c>
    </row>
    <row r="7" ht="32" customHeight="1">
      <c r="A7" s="17" t="inlineStr">
        <is>
          <t>下单时实际收多少</t>
        </is>
      </c>
      <c r="B7" s="18" t="inlineStr">
        <is>
          <t>购物车会在普通、顺丰、安能三者里自动取最低价（选择了「到付」则客户收货时自付，系统运费为 0）。本表只导出普通与顺丰。</t>
        </is>
      </c>
    </row>
    <row r="8" ht="32" customHeight="1">
      <c r="A8" s="17" t="inlineStr">
        <is>
          <t>港澳台与境外</t>
        </is>
      </c>
      <c r="B8" s="18" t="inlineStr">
        <is>
          <t>不在本表 31 个地区内。走转运仓发货：运费按转运仓所在省份计算，内地到转运仓段由我方承担，转运仓到境外段由客户承担。</t>
        </is>
      </c>
    </row>
    <row r="9" ht="32" customHeight="1">
      <c r="A9" s="17" t="inlineStr">
        <is>
          <t>⚠ 需要核对 1</t>
        </is>
      </c>
      <c r="B9" s="18" t="inlineStr">
        <is>
          <t>江苏顺丰为 ¥19 首重 / ¥7 续重，安徽、浙江、上海同区域为 ¥18 起，江苏明显偏高，疑为当年录入笔误。</t>
        </is>
      </c>
    </row>
    <row r="10" ht="32" customHeight="1">
      <c r="A10" s="17" t="inlineStr">
        <is>
          <t>⚠ 需要核对 2</t>
        </is>
      </c>
      <c r="B10" s="18" t="inlineStr">
        <is>
          <t>山西顺丰 ¥19 首重，同为 ¥18 一档的陕西却是 ¥18，也偏高。</t>
        </is>
      </c>
    </row>
    <row r="11" ht="32" customHeight="1">
      <c r="A11" s="17" t="inlineStr">
        <is>
          <t>⚠ 需要核对 3</t>
        </is>
      </c>
      <c r="B11" s="18" t="inlineStr">
        <is>
          <t>省份在表里查不到时，系统兜底用「普通 ¥18/¥5、顺丰 ¥15/¥5」——顺丰兜底价低于绝大多数真实省份（普遍 ¥18 起），一旦出现未匹配省份会少收运费。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萌开了家居</dc:creator>
  <dc:title>萌开了家居 快递运费价格表（普通快递·顺丰）</dc:title>
  <dcterms:created xsi:type="dcterms:W3CDTF">2026-10-24T12:54:39Z</dcterms:created>
  <dcterms:modified xsi:type="dcterms:W3CDTF">2026-10-24T12:54:39Z</dcterms:modified>
</cp:coreProperties>
</file>