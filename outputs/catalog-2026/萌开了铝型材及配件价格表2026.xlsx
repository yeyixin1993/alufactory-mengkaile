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c93ab31c8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材零售价" sheetId="1" r:id="Rd495a1ebd7e9496a"/>
    <x:sheet xmlns:r="http://schemas.openxmlformats.org/officeDocument/2006/relationships" name="型材会员价" sheetId="2" r:id="R7693d25b67ed4c59"/>
    <x:sheet xmlns:r="http://schemas.openxmlformats.org/officeDocument/2006/relationships" name="配件价格" sheetId="3" r:id="R8495b2655b9d4dce"/>
    <x:sheet xmlns:r="http://schemas.openxmlformats.org/officeDocument/2006/relationships" name="原配件参考" sheetId="4" r:id="R48892dfeac0f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.00&quot;  &quot;"/>
    <x:numFmt numFmtId="201" formatCode="0.0"/>
  </x:numFmts>
  <x:fonts count="5">
    <x:font>
      <x:sz val="11"/>
      <x:name val="Carlito"/>
    </x:font>
    <x:font>
      <x:sz val="11"/>
      <x:color rgb="FF173D38"/>
      <x:name val="Arial"/>
    </x:font>
    <x:font>
      <x:b/>
      <x:sz val="16"/>
      <x:color rgb="FF173D38"/>
      <x:name val="Arial"/>
    </x:font>
    <x:font>
      <x:sz val="10"/>
      <x:color rgb="FF53645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8"/>
      </x:patternFill>
    </x:fill>
    <x:fill>
      <x:patternFill patternType="solid">
        <x:fgColor rgb="FFF0F4E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fb0bcd3fc478a" /><Relationship Type="http://schemas.openxmlformats.org/officeDocument/2006/relationships/theme" Target="/xl/theme/theme1.xml" Id="R1ec933473f6e43a6" /><Relationship Type="http://schemas.openxmlformats.org/officeDocument/2006/relationships/sharedStrings" Target="/xl/sharedStrings.xml" Id="Rad14d592515046ff" /><Relationship Type="http://schemas.openxmlformats.org/officeDocument/2006/relationships/worksheet" Target="/xl/worksheets/sheet1.xml" Id="Rd495a1ebd7e9496a" /><Relationship Type="http://schemas.openxmlformats.org/officeDocument/2006/relationships/worksheet" Target="/xl/worksheets/sheet2.xml" Id="R7693d25b67ed4c59" /><Relationship Type="http://schemas.openxmlformats.org/officeDocument/2006/relationships/worksheet" Target="/xl/worksheets/sheet3.xml" Id="R8495b2655b9d4dce" /><Relationship Type="http://schemas.openxmlformats.org/officeDocument/2006/relationships/worksheet" Target="/xl/worksheets/sheet4.xml" Id="R48892dfeac0f42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8cb383ccc2c4c8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36</xdr:row>
      <xdr:rowOff>0</xdr:rowOff>
    </xdr:from>
    <xdr:ext cx="5334000" cy="7115175"/>
    <xdr:pic>
      <xdr:nvPicPr>
        <xdr:cNvPr id="1" name="c6aabffe-657e-45c9-b9d3-526f73f58a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b383ccc2c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e5377e2677845a1" /></Relationships>
</file>

<file path=xl/worksheets/sheet1.xml><?xml version="1.0" encoding="utf-8"?>
<x:worksheet xmlns:x="http://schemas.openxmlformats.org/spreadsheetml/2006/main">
  <x:sheetPr>
    <x:tabColor rgb="FF173D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19" hidden="0" customWidth="1"/>
    <x:col min="4" max="4" width="22" hidden="0" customWidth="1"/>
    <x:col min="5" max="5" width="2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铝型材零售价格</x:v>
      </x:c>
      <x:c r="B2" s="2"/>
      <x:c r="C2" s="2"/>
      <x:c r="D2" s="2"/>
      <x:c r="E2" s="2"/>
    </x:row>
    <x:row r="3">
      <x:c r="A3" s="4" t="str">
        <x:v>萌开了家居 · 2026.09 · 人民币报价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6" customHeight="1">
      <x:c r="A5" s="8" t="str">
        <x:v>型号</x:v>
      </x:c>
      <x:c r="B5" s="8" t="str">
        <x:v>壁厚 mm</x:v>
      </x:c>
      <x:c r="C5" s="8" t="str">
        <x:v>氧化银白</x:v>
      </x:c>
      <x:c r="D5" s="8" t="str">
        <x:v>彩色截面本色</x:v>
      </x:c>
      <x:c r="E5" s="8" t="str">
        <x:v>彩色截面同色</x:v>
      </x:c>
    </x:row>
    <x:row r="6" ht="27" customHeight="1">
      <x:c r="A6" s="9" t="str">
        <x:v>1515</x:v>
      </x:c>
      <x:c r="B6" s="14" t="n">
        <x:v>1</x:v>
      </x:c>
      <x:c r="C6" s="12" t="n">
        <x:v>12</x:v>
      </x:c>
      <x:c r="D6" s="12" t="n">
        <x:v>16</x:v>
      </x:c>
      <x:c r="E6" s="12" t="n">
        <x:v>19</x:v>
      </x:c>
    </x:row>
    <x:row r="7" ht="27" customHeight="1">
      <x:c r="A7" s="2" t="str">
        <x:v>1515 N1</x:v>
      </x:c>
      <x:c r="B7" s="15" t="n">
        <x:v>1</x:v>
      </x:c>
      <x:c r="C7" s="13" t="n">
        <x:v>12.5</x:v>
      </x:c>
      <x:c r="D7" s="13" t="n">
        <x:v>16.5</x:v>
      </x:c>
      <x:c r="E7" s="13" t="n">
        <x:v>19.5</x:v>
      </x:c>
    </x:row>
    <x:row r="8" ht="27" customHeight="1">
      <x:c r="A8" s="9" t="str">
        <x:v>1515 N2</x:v>
      </x:c>
      <x:c r="B8" s="14" t="n">
        <x:v>1</x:v>
      </x:c>
      <x:c r="C8" s="12" t="n">
        <x:v>13</x:v>
      </x:c>
      <x:c r="D8" s="12" t="n">
        <x:v>17</x:v>
      </x:c>
      <x:c r="E8" s="12" t="n">
        <x:v>20</x:v>
      </x:c>
    </x:row>
    <x:row r="9" ht="27" customHeight="1">
      <x:c r="A9" s="2" t="str">
        <x:v>2020</x:v>
      </x:c>
      <x:c r="B9" s="15" t="n">
        <x:v>1.5</x:v>
      </x:c>
      <x:c r="C9" s="13" t="n">
        <x:v>16</x:v>
      </x:c>
      <x:c r="D9" s="13" t="n">
        <x:v>20</x:v>
      </x:c>
      <x:c r="E9" s="13" t="n">
        <x:v>24</x:v>
      </x:c>
    </x:row>
    <x:row r="10" ht="27" customHeight="1">
      <x:c r="A10" s="9" t="str">
        <x:v>2020 N1</x:v>
      </x:c>
      <x:c r="B10" s="14" t="n">
        <x:v>1.5</x:v>
      </x:c>
      <x:c r="C10" s="12" t="n">
        <x:v>17</x:v>
      </x:c>
      <x:c r="D10" s="12" t="n">
        <x:v>21</x:v>
      </x:c>
      <x:c r="E10" s="12" t="n">
        <x:v>25</x:v>
      </x:c>
    </x:row>
    <x:row r="11" ht="27" customHeight="1">
      <x:c r="A11" s="2" t="str">
        <x:v>2020 N2</x:v>
      </x:c>
      <x:c r="B11" s="15" t="n">
        <x:v>1.5</x:v>
      </x:c>
      <x:c r="C11" s="13" t="n">
        <x:v>18</x:v>
      </x:c>
      <x:c r="D11" s="13" t="n">
        <x:v>23</x:v>
      </x:c>
      <x:c r="E11" s="13" t="n">
        <x:v>27</x:v>
      </x:c>
    </x:row>
    <x:row r="12" ht="27" customHeight="1">
      <x:c r="A12" s="9" t="str">
        <x:v>2020 N2 对边</x:v>
      </x:c>
      <x:c r="B12" s="14" t="n">
        <x:v>1.5</x:v>
      </x:c>
      <x:c r="C12" s="12" t="n">
        <x:v>18</x:v>
      </x:c>
      <x:c r="D12" s="12" t="n">
        <x:v>23</x:v>
      </x:c>
      <x:c r="E12" s="12" t="n">
        <x:v>27</x:v>
      </x:c>
    </x:row>
    <x:row r="13" ht="27" customHeight="1">
      <x:c r="A13" s="2" t="str">
        <x:v>2020 N3</x:v>
      </x:c>
      <x:c r="B13" s="15" t="n">
        <x:v>1.5</x:v>
      </x:c>
      <x:c r="C13" s="13" t="n">
        <x:v>19</x:v>
      </x:c>
      <x:c r="D13" s="13" t="n">
        <x:v>23</x:v>
      </x:c>
      <x:c r="E13" s="13" t="n">
        <x:v>27</x:v>
      </x:c>
    </x:row>
    <x:row r="14" ht="27" customHeight="1">
      <x:c r="A14" s="9" t="str">
        <x:v>2020 N4 方形</x:v>
      </x:c>
      <x:c r="B14" s="14" t="n">
        <x:v>1.5</x:v>
      </x:c>
      <x:c r="C14" s="12" t="n">
        <x:v>19.5</x:v>
      </x:c>
      <x:c r="D14" s="12" t="n">
        <x:v>23.5</x:v>
      </x:c>
      <x:c r="E14" s="12" t="n">
        <x:v>27.5</x:v>
      </x:c>
    </x:row>
    <x:row r="15" ht="27" customHeight="1">
      <x:c r="A15" s="2" t="str">
        <x:v>2020 N4 圆形</x:v>
      </x:c>
      <x:c r="B15" s="15" t="n">
        <x:v>1.5</x:v>
      </x:c>
      <x:c r="C15" s="13" t="n">
        <x:v>16.5</x:v>
      </x:c>
      <x:c r="D15" s="13" t="n">
        <x:v>20.5</x:v>
      </x:c>
      <x:c r="E15" s="13" t="n">
        <x:v>24.5</x:v>
      </x:c>
    </x:row>
    <x:row r="16" ht="27" customHeight="1">
      <x:c r="A16" s="9" t="str">
        <x:v>2020R</x:v>
      </x:c>
      <x:c r="B16" s="14" t="n">
        <x:v>1.5</x:v>
      </x:c>
      <x:c r="C16" s="12" t="n">
        <x:v>17</x:v>
      </x:c>
      <x:c r="D16" s="12" t="n">
        <x:v>21</x:v>
      </x:c>
      <x:c r="E16" s="12" t="n">
        <x:v>25</x:v>
      </x:c>
    </x:row>
    <x:row r="17" ht="27" customHeight="1">
      <x:c r="A17" s="2" t="str">
        <x:v>2040</x:v>
      </x:c>
      <x:c r="B17" s="15" t="n">
        <x:v>1.5</x:v>
      </x:c>
      <x:c r="C17" s="13" t="n">
        <x:v>27</x:v>
      </x:c>
      <x:c r="D17" s="13" t="n">
        <x:v>32</x:v>
      </x:c>
      <x:c r="E17" s="13" t="n">
        <x:v>38</x:v>
      </x:c>
    </x:row>
    <x:row r="18" ht="27" customHeight="1">
      <x:c r="A18" s="9" t="str">
        <x:v>2040 N1-20</x:v>
      </x:c>
      <x:c r="B18" s="14" t="n">
        <x:v>1.5</x:v>
      </x:c>
      <x:c r="C18" s="12" t="n">
        <x:v>28</x:v>
      </x:c>
      <x:c r="D18" s="12" t="n">
        <x:v>34</x:v>
      </x:c>
      <x:c r="E18" s="12" t="n">
        <x:v>40</x:v>
      </x:c>
    </x:row>
    <x:row r="19" ht="27" customHeight="1">
      <x:c r="A19" s="2" t="str">
        <x:v>2040 N1-40</x:v>
      </x:c>
      <x:c r="B19" s="15" t="n">
        <x:v>1.5</x:v>
      </x:c>
      <x:c r="C19" s="13" t="n">
        <x:v>29</x:v>
      </x:c>
      <x:c r="D19" s="13" t="n">
        <x:v>35</x:v>
      </x:c>
      <x:c r="E19" s="13" t="n">
        <x:v>41</x:v>
      </x:c>
    </x:row>
    <x:row r="20" ht="27" customHeight="1">
      <x:c r="A20" s="9" t="str">
        <x:v>2047</x:v>
      </x:c>
      <x:c r="B20" s="14" t="n">
        <x:v>1.5</x:v>
      </x:c>
      <x:c r="C20" s="12" t="n">
        <x:v>41</x:v>
      </x:c>
      <x:c r="D20" s="12" t="n">
        <x:v>48</x:v>
      </x:c>
      <x:c r="E20" s="12" t="n">
        <x:v>58</x:v>
      </x:c>
    </x:row>
    <x:row r="21" ht="27" customHeight="1">
      <x:c r="A21" s="2" t="str">
        <x:v>2060</x:v>
      </x:c>
      <x:c r="B21" s="15" t="n">
        <x:v>1.5</x:v>
      </x:c>
      <x:c r="C21" s="13" t="n">
        <x:v>65</x:v>
      </x:c>
      <x:c r="D21" s="13" t="n">
        <x:v>90</x:v>
      </x:c>
      <x:c r="E21" s="13" t="n">
        <x:v>120</x:v>
      </x:c>
    </x:row>
    <x:row r="22" ht="27" customHeight="1">
      <x:c r="A22" s="9" t="str">
        <x:v>20100</x:v>
      </x:c>
      <x:c r="B22" s="14" t="n">
        <x:v>1.5</x:v>
      </x:c>
      <x:c r="C22" s="12" t="n">
        <x:v>80</x:v>
      </x:c>
      <x:c r="D22" s="12" t="n">
        <x:v>110</x:v>
      </x:c>
      <x:c r="E22" s="12" t="n">
        <x:v>140</x:v>
      </x:c>
    </x:row>
    <x:row r="23" ht="27" customHeight="1">
      <x:c r="A23" s="2" t="str">
        <x:v>3030</x:v>
      </x:c>
      <x:c r="B23" s="15" t="n">
        <x:v>1.8</x:v>
      </x:c>
      <x:c r="C23" s="13" t="n">
        <x:v>29</x:v>
      </x:c>
      <x:c r="D23" s="13" t="n">
        <x:v>35</x:v>
      </x:c>
      <x:c r="E23" s="13" t="n">
        <x:v>41</x:v>
      </x:c>
    </x:row>
    <x:row r="24" ht="27" customHeight="1">
      <x:c r="A24" s="9" t="str">
        <x:v>3030 N1</x:v>
      </x:c>
      <x:c r="B24" s="14" t="n">
        <x:v>1.8</x:v>
      </x:c>
      <x:c r="C24" s="12" t="n">
        <x:v>31</x:v>
      </x:c>
      <x:c r="D24" s="12" t="n">
        <x:v>36</x:v>
      </x:c>
      <x:c r="E24" s="12" t="n">
        <x:v>42</x:v>
      </x:c>
    </x:row>
    <x:row r="25" ht="27" customHeight="1">
      <x:c r="A25" s="2" t="str">
        <x:v>3030 N2</x:v>
      </x:c>
      <x:c r="B25" s="15" t="n">
        <x:v>1.8</x:v>
      </x:c>
      <x:c r="C25" s="13" t="n">
        <x:v>32</x:v>
      </x:c>
      <x:c r="D25" s="13" t="n">
        <x:v>38</x:v>
      </x:c>
      <x:c r="E25" s="13" t="n">
        <x:v>44</x:v>
      </x:c>
    </x:row>
    <x:row r="26" ht="27" customHeight="1">
      <x:c r="A26" s="9" t="str">
        <x:v>3030R</x:v>
      </x:c>
      <x:c r="B26" s="14" t="n">
        <x:v>2</x:v>
      </x:c>
      <x:c r="C26" s="12" t="n">
        <x:v>32</x:v>
      </x:c>
      <x:c r="D26" s="12" t="n">
        <x:v>38</x:v>
      </x:c>
      <x:c r="E26" s="12" t="n">
        <x:v>44</x:v>
      </x:c>
    </x:row>
    <x:row r="27" ht="27" customHeight="1">
      <x:c r="A27" s="2" t="str">
        <x:v>3060</x:v>
      </x:c>
      <x:c r="B27" s="15" t="n">
        <x:v>1.8</x:v>
      </x:c>
      <x:c r="C27" s="13" t="n">
        <x:v>53</x:v>
      </x:c>
      <x:c r="D27" s="13" t="n">
        <x:v>60</x:v>
      </x:c>
      <x:c r="E27" s="13" t="n">
        <x:v>70</x:v>
      </x:c>
    </x:row>
    <x:row r="28" ht="27" customHeight="1">
      <x:c r="A28" s="9" t="str">
        <x:v>3060 N1-60</x:v>
      </x:c>
      <x:c r="B28" s="14" t="n">
        <x:v>2</x:v>
      </x:c>
      <x:c r="C28" s="12" t="n">
        <x:v>59</x:v>
      </x:c>
      <x:c r="D28" s="12" t="n">
        <x:v>63</x:v>
      </x:c>
      <x:c r="E28" s="12" t="n">
        <x:v>73</x:v>
      </x:c>
    </x:row>
    <x:row r="29" ht="27" customHeight="1">
      <x:c r="A29" s="2" t="str">
        <x:v>4040</x:v>
      </x:c>
      <x:c r="B29" s="15" t="n">
        <x:v>2</x:v>
      </x:c>
      <x:c r="C29" s="13" t="n">
        <x:v>45</x:v>
      </x:c>
      <x:c r="D29" s="13" t="n">
        <x:v>52</x:v>
      </x:c>
      <x:c r="E29" s="13" t="n">
        <x:v>62</x:v>
      </x:c>
    </x:row>
    <x:row r="30" ht="27" customHeight="1">
      <x:c r="A30" s="9" t="str">
        <x:v>4080</x:v>
      </x:c>
      <x:c r="B30" s="14" t="n">
        <x:v>2</x:v>
      </x:c>
      <x:c r="C30" s="12" t="n">
        <x:v>80</x:v>
      </x:c>
      <x:c r="D30" s="12" t="n">
        <x:v>110</x:v>
      </x:c>
      <x:c r="E30" s="12" t="n">
        <x:v>140</x:v>
      </x:c>
    </x:row>
    <x:row r="31">
      <x:c r="A31" s="2"/>
      <x:c r="B31" s="2"/>
      <x:c r="C31" s="2"/>
      <x:c r="D31" s="2"/>
      <x:c r="E31" s="2"/>
    </x:row>
    <x:row r="33">
      <x:c r="A33" s="16" t="str">
        <x:v>单位：元 / 米。材料金额 = 长度mm÷1000×米价；定制长度大于20mm，最长3000mm。</x:v>
      </x:c>
    </x:row>
    <x:row r="34">
      <x:c r="A34" s="16" t="str">
        <x:v>长度≤100mm每根加收5元危险加工费。打孔、攻丝、斜切等加工另计，税运下单确认。</x:v>
      </x:c>
    </x:row>
    <x:row r="35">
      <x:c r="A35" s="16" t="str">
        <x:v>N1/N2/N3/N4分别为一/二/三/四面封边；N2对边指相对两面封边。</x:v>
      </x:c>
    </x:row>
    <x:row r="36">
      <x:c r="A36" s="16" t="str">
        <x:v>通孔1元 / 孔；沉头、螺纹、口哨孔1.8元 / 孔；攻丝1.5元 / 端部孔口；斜切1元 / 端。</x:v>
      </x:c>
    </x:row>
    <x:row r="37">
      <x:c r="A37" s="16" t="str">
        <x:v>来源：https://mengkaile.top/#/product/p2；线上版本核对日期 2026-09-08。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D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22" hidden="0" customWidth="1"/>
    <x:col min="4" max="4" width="22" hidden="0" customWidth="1"/>
    <x:col min="5" max="5" width="15" hidden="0" customWidth="1"/>
    <x:col min="6" max="6" width="23" hidden="0" customWidth="1"/>
    <x:col min="7" max="7" width="2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铝型材会员价格</x:v>
      </x:c>
      <x:c r="B2" s="2"/>
      <x:c r="C2" s="2"/>
      <x:c r="D2" s="2"/>
      <x:c r="E2" s="2"/>
      <x:c r="F2" s="2"/>
      <x:c r="G2" s="2"/>
    </x:row>
    <x:row r="3">
      <x:c r="A3" s="4" t="str">
        <x:v>萌开了家居 · 2026.09 · 人民币报价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8" t="str">
        <x:v>型号</x:v>
      </x:c>
      <x:c r="B5" s="8" t="str">
        <x:v>VIP银白</x:v>
      </x:c>
      <x:c r="C5" s="8" t="str">
        <x:v>VIP彩色截面本色</x:v>
      </x:c>
      <x:c r="D5" s="8" t="str">
        <x:v>VIP彩色截面同色</x:v>
      </x:c>
      <x:c r="E5" s="8" t="str">
        <x:v>VIP+银白</x:v>
      </x:c>
      <x:c r="F5" s="8" t="str">
        <x:v>VIP+彩色截面本色</x:v>
      </x:c>
      <x:c r="G5" s="8" t="str">
        <x:v>VIP+彩色截面同色</x:v>
      </x:c>
    </x:row>
    <x:row r="6" ht="27" customHeight="1">
      <x:c r="A6" s="9" t="str">
        <x:v>1515</x:v>
      </x:c>
      <x:c r="B6" s="12" t="n">
        <x:f>'型材零售价'!C6-$B$33</x:f>
        <x:v>10</x:v>
      </x:c>
      <x:c r="C6" s="12" t="n">
        <x:f>'型材零售价'!D6-$B$33</x:f>
        <x:v>14</x:v>
      </x:c>
      <x:c r="D6" s="12" t="n">
        <x:f>'型材零售价'!E6-$B$33</x:f>
        <x:v>17</x:v>
      </x:c>
      <x:c r="E6" s="12" t="n">
        <x:f>'型材零售价'!C6-$B$34</x:f>
        <x:v>8</x:v>
      </x:c>
      <x:c r="F6" s="12" t="n">
        <x:f>'型材零售价'!D6-$B$34</x:f>
        <x:v>12</x:v>
      </x:c>
      <x:c r="G6" s="12" t="n">
        <x:f>'型材零售价'!E6-$B$34</x:f>
        <x:v>15</x:v>
      </x:c>
    </x:row>
    <x:row r="7" ht="27" customHeight="1">
      <x:c r="A7" s="2" t="str">
        <x:v>1515 N1</x:v>
      </x:c>
      <x:c r="B7" s="13" t="n">
        <x:f>'型材零售价'!C7-$B$33</x:f>
        <x:v>10.5</x:v>
      </x:c>
      <x:c r="C7" s="13" t="n">
        <x:f>'型材零售价'!D7-$B$33</x:f>
        <x:v>14.5</x:v>
      </x:c>
      <x:c r="D7" s="13" t="n">
        <x:f>'型材零售价'!E7-$B$33</x:f>
        <x:v>17.5</x:v>
      </x:c>
      <x:c r="E7" s="13" t="n">
        <x:f>'型材零售价'!C7-$B$34</x:f>
        <x:v>8.5</x:v>
      </x:c>
      <x:c r="F7" s="13" t="n">
        <x:f>'型材零售价'!D7-$B$34</x:f>
        <x:v>12.5</x:v>
      </x:c>
      <x:c r="G7" s="13" t="n">
        <x:f>'型材零售价'!E7-$B$34</x:f>
        <x:v>15.5</x:v>
      </x:c>
    </x:row>
    <x:row r="8" ht="27" customHeight="1">
      <x:c r="A8" s="9" t="str">
        <x:v>1515 N2</x:v>
      </x:c>
      <x:c r="B8" s="12" t="n">
        <x:f>'型材零售价'!C8-$B$33</x:f>
        <x:v>11</x:v>
      </x:c>
      <x:c r="C8" s="12" t="n">
        <x:f>'型材零售价'!D8-$B$33</x:f>
        <x:v>15</x:v>
      </x:c>
      <x:c r="D8" s="12" t="n">
        <x:f>'型材零售价'!E8-$B$33</x:f>
        <x:v>18</x:v>
      </x:c>
      <x:c r="E8" s="12" t="n">
        <x:f>'型材零售价'!C8-$B$34</x:f>
        <x:v>9</x:v>
      </x:c>
      <x:c r="F8" s="12" t="n">
        <x:f>'型材零售价'!D8-$B$34</x:f>
        <x:v>13</x:v>
      </x:c>
      <x:c r="G8" s="12" t="n">
        <x:f>'型材零售价'!E8-$B$34</x:f>
        <x:v>16</x:v>
      </x:c>
    </x:row>
    <x:row r="9" ht="27" customHeight="1">
      <x:c r="A9" s="2" t="str">
        <x:v>2020</x:v>
      </x:c>
      <x:c r="B9" s="13" t="n">
        <x:f>'型材零售价'!C9-$B$33</x:f>
        <x:v>14</x:v>
      </x:c>
      <x:c r="C9" s="13" t="n">
        <x:f>'型材零售价'!D9-$B$33</x:f>
        <x:v>18</x:v>
      </x:c>
      <x:c r="D9" s="13" t="n">
        <x:f>'型材零售价'!E9-$B$33</x:f>
        <x:v>22</x:v>
      </x:c>
      <x:c r="E9" s="13" t="n">
        <x:f>'型材零售价'!C9-$B$34</x:f>
        <x:v>12</x:v>
      </x:c>
      <x:c r="F9" s="13" t="n">
        <x:f>'型材零售价'!D9-$B$34</x:f>
        <x:v>16</x:v>
      </x:c>
      <x:c r="G9" s="13" t="n">
        <x:f>'型材零售价'!E9-$B$34</x:f>
        <x:v>20</x:v>
      </x:c>
    </x:row>
    <x:row r="10" ht="27" customHeight="1">
      <x:c r="A10" s="9" t="str">
        <x:v>2020 N1</x:v>
      </x:c>
      <x:c r="B10" s="12" t="n">
        <x:f>'型材零售价'!C10-$B$33</x:f>
        <x:v>15</x:v>
      </x:c>
      <x:c r="C10" s="12" t="n">
        <x:f>'型材零售价'!D10-$B$33</x:f>
        <x:v>19</x:v>
      </x:c>
      <x:c r="D10" s="12" t="n">
        <x:f>'型材零售价'!E10-$B$33</x:f>
        <x:v>23</x:v>
      </x:c>
      <x:c r="E10" s="12" t="n">
        <x:f>'型材零售价'!C10-$B$34</x:f>
        <x:v>13</x:v>
      </x:c>
      <x:c r="F10" s="12" t="n">
        <x:f>'型材零售价'!D10-$B$34</x:f>
        <x:v>17</x:v>
      </x:c>
      <x:c r="G10" s="12" t="n">
        <x:f>'型材零售价'!E10-$B$34</x:f>
        <x:v>21</x:v>
      </x:c>
    </x:row>
    <x:row r="11" ht="27" customHeight="1">
      <x:c r="A11" s="2" t="str">
        <x:v>2020 N2</x:v>
      </x:c>
      <x:c r="B11" s="13" t="n">
        <x:f>'型材零售价'!C11-$B$33</x:f>
        <x:v>16</x:v>
      </x:c>
      <x:c r="C11" s="13" t="n">
        <x:f>'型材零售价'!D11-$B$33</x:f>
        <x:v>21</x:v>
      </x:c>
      <x:c r="D11" s="13" t="n">
        <x:f>'型材零售价'!E11-$B$33</x:f>
        <x:v>25</x:v>
      </x:c>
      <x:c r="E11" s="13" t="n">
        <x:f>'型材零售价'!C11-$B$34</x:f>
        <x:v>14</x:v>
      </x:c>
      <x:c r="F11" s="13" t="n">
        <x:f>'型材零售价'!D11-$B$34</x:f>
        <x:v>19</x:v>
      </x:c>
      <x:c r="G11" s="13" t="n">
        <x:f>'型材零售价'!E11-$B$34</x:f>
        <x:v>23</x:v>
      </x:c>
    </x:row>
    <x:row r="12" ht="27" customHeight="1">
      <x:c r="A12" s="9" t="str">
        <x:v>2020 N2 对边</x:v>
      </x:c>
      <x:c r="B12" s="12" t="n">
        <x:f>'型材零售价'!C12-$B$33</x:f>
        <x:v>16</x:v>
      </x:c>
      <x:c r="C12" s="12" t="n">
        <x:f>'型材零售价'!D12-$B$33</x:f>
        <x:v>21</x:v>
      </x:c>
      <x:c r="D12" s="12" t="n">
        <x:f>'型材零售价'!E12-$B$33</x:f>
        <x:v>25</x:v>
      </x:c>
      <x:c r="E12" s="12" t="n">
        <x:f>'型材零售价'!C12-$B$34</x:f>
        <x:v>14</x:v>
      </x:c>
      <x:c r="F12" s="12" t="n">
        <x:f>'型材零售价'!D12-$B$34</x:f>
        <x:v>19</x:v>
      </x:c>
      <x:c r="G12" s="12" t="n">
        <x:f>'型材零售价'!E12-$B$34</x:f>
        <x:v>23</x:v>
      </x:c>
    </x:row>
    <x:row r="13" ht="27" customHeight="1">
      <x:c r="A13" s="2" t="str">
        <x:v>2020 N3</x:v>
      </x:c>
      <x:c r="B13" s="13" t="n">
        <x:f>'型材零售价'!C13-$B$33</x:f>
        <x:v>17</x:v>
      </x:c>
      <x:c r="C13" s="13" t="n">
        <x:f>'型材零售价'!D13-$B$33</x:f>
        <x:v>21</x:v>
      </x:c>
      <x:c r="D13" s="13" t="n">
        <x:f>'型材零售价'!E13-$B$33</x:f>
        <x:v>25</x:v>
      </x:c>
      <x:c r="E13" s="13" t="n">
        <x:f>'型材零售价'!C13-$B$34</x:f>
        <x:v>15</x:v>
      </x:c>
      <x:c r="F13" s="13" t="n">
        <x:f>'型材零售价'!D13-$B$34</x:f>
        <x:v>19</x:v>
      </x:c>
      <x:c r="G13" s="13" t="n">
        <x:f>'型材零售价'!E13-$B$34</x:f>
        <x:v>23</x:v>
      </x:c>
    </x:row>
    <x:row r="14" ht="27" customHeight="1">
      <x:c r="A14" s="9" t="str">
        <x:v>2020 N4 方形</x:v>
      </x:c>
      <x:c r="B14" s="12" t="n">
        <x:f>'型材零售价'!C14-$B$33</x:f>
        <x:v>17.5</x:v>
      </x:c>
      <x:c r="C14" s="12" t="n">
        <x:f>'型材零售价'!D14-$B$33</x:f>
        <x:v>21.5</x:v>
      </x:c>
      <x:c r="D14" s="12" t="n">
        <x:f>'型材零售价'!E14-$B$33</x:f>
        <x:v>25.5</x:v>
      </x:c>
      <x:c r="E14" s="12" t="n">
        <x:f>'型材零售价'!C14-$B$34</x:f>
        <x:v>15.5</x:v>
      </x:c>
      <x:c r="F14" s="12" t="n">
        <x:f>'型材零售价'!D14-$B$34</x:f>
        <x:v>19.5</x:v>
      </x:c>
      <x:c r="G14" s="12" t="n">
        <x:f>'型材零售价'!E14-$B$34</x:f>
        <x:v>23.5</x:v>
      </x:c>
    </x:row>
    <x:row r="15" ht="27" customHeight="1">
      <x:c r="A15" s="2" t="str">
        <x:v>2020 N4 圆形</x:v>
      </x:c>
      <x:c r="B15" s="13" t="n">
        <x:f>'型材零售价'!C15-$B$33</x:f>
        <x:v>14.5</x:v>
      </x:c>
      <x:c r="C15" s="13" t="n">
        <x:f>'型材零售价'!D15-$B$33</x:f>
        <x:v>18.5</x:v>
      </x:c>
      <x:c r="D15" s="13" t="n">
        <x:f>'型材零售价'!E15-$B$33</x:f>
        <x:v>22.5</x:v>
      </x:c>
      <x:c r="E15" s="13" t="n">
        <x:f>'型材零售价'!C15-$B$34</x:f>
        <x:v>12.5</x:v>
      </x:c>
      <x:c r="F15" s="13" t="n">
        <x:f>'型材零售价'!D15-$B$34</x:f>
        <x:v>16.5</x:v>
      </x:c>
      <x:c r="G15" s="13" t="n">
        <x:f>'型材零售价'!E15-$B$34</x:f>
        <x:v>20.5</x:v>
      </x:c>
    </x:row>
    <x:row r="16" ht="27" customHeight="1">
      <x:c r="A16" s="9" t="str">
        <x:v>2020R</x:v>
      </x:c>
      <x:c r="B16" s="12" t="n">
        <x:f>'型材零售价'!C16-$B$33</x:f>
        <x:v>15</x:v>
      </x:c>
      <x:c r="C16" s="12" t="n">
        <x:f>'型材零售价'!D16-$B$33</x:f>
        <x:v>19</x:v>
      </x:c>
      <x:c r="D16" s="12" t="n">
        <x:f>'型材零售价'!E16-$B$33</x:f>
        <x:v>23</x:v>
      </x:c>
      <x:c r="E16" s="12" t="n">
        <x:f>'型材零售价'!C16-$B$34</x:f>
        <x:v>13</x:v>
      </x:c>
      <x:c r="F16" s="12" t="n">
        <x:f>'型材零售价'!D16-$B$34</x:f>
        <x:v>17</x:v>
      </x:c>
      <x:c r="G16" s="12" t="n">
        <x:f>'型材零售价'!E16-$B$34</x:f>
        <x:v>21</x:v>
      </x:c>
    </x:row>
    <x:row r="17" ht="27" customHeight="1">
      <x:c r="A17" s="2" t="str">
        <x:v>2040</x:v>
      </x:c>
      <x:c r="B17" s="13" t="n">
        <x:f>'型材零售价'!C17-$B$33</x:f>
        <x:v>25</x:v>
      </x:c>
      <x:c r="C17" s="13" t="n">
        <x:f>'型材零售价'!D17-$B$33</x:f>
        <x:v>30</x:v>
      </x:c>
      <x:c r="D17" s="13" t="n">
        <x:f>'型材零售价'!E17-$B$33</x:f>
        <x:v>36</x:v>
      </x:c>
      <x:c r="E17" s="13" t="n">
        <x:f>'型材零售价'!C17-$B$34</x:f>
        <x:v>23</x:v>
      </x:c>
      <x:c r="F17" s="13" t="n">
        <x:f>'型材零售价'!D17-$B$34</x:f>
        <x:v>28</x:v>
      </x:c>
      <x:c r="G17" s="13" t="n">
        <x:f>'型材零售价'!E17-$B$34</x:f>
        <x:v>34</x:v>
      </x:c>
    </x:row>
    <x:row r="18" ht="27" customHeight="1">
      <x:c r="A18" s="9" t="str">
        <x:v>2040 N1-20</x:v>
      </x:c>
      <x:c r="B18" s="12" t="n">
        <x:f>'型材零售价'!C18-$B$33</x:f>
        <x:v>26</x:v>
      </x:c>
      <x:c r="C18" s="12" t="n">
        <x:f>'型材零售价'!D18-$B$33</x:f>
        <x:v>32</x:v>
      </x:c>
      <x:c r="D18" s="12" t="n">
        <x:f>'型材零售价'!E18-$B$33</x:f>
        <x:v>38</x:v>
      </x:c>
      <x:c r="E18" s="12" t="n">
        <x:f>'型材零售价'!C18-$B$34</x:f>
        <x:v>24</x:v>
      </x:c>
      <x:c r="F18" s="12" t="n">
        <x:f>'型材零售价'!D18-$B$34</x:f>
        <x:v>30</x:v>
      </x:c>
      <x:c r="G18" s="12" t="n">
        <x:f>'型材零售价'!E18-$B$34</x:f>
        <x:v>36</x:v>
      </x:c>
    </x:row>
    <x:row r="19" ht="27" customHeight="1">
      <x:c r="A19" s="2" t="str">
        <x:v>2040 N1-40</x:v>
      </x:c>
      <x:c r="B19" s="13" t="n">
        <x:f>'型材零售价'!C19-$B$33</x:f>
        <x:v>27</x:v>
      </x:c>
      <x:c r="C19" s="13" t="n">
        <x:f>'型材零售价'!D19-$B$33</x:f>
        <x:v>33</x:v>
      </x:c>
      <x:c r="D19" s="13" t="n">
        <x:f>'型材零售价'!E19-$B$33</x:f>
        <x:v>39</x:v>
      </x:c>
      <x:c r="E19" s="13" t="n">
        <x:f>'型材零售价'!C19-$B$34</x:f>
        <x:v>25</x:v>
      </x:c>
      <x:c r="F19" s="13" t="n">
        <x:f>'型材零售价'!D19-$B$34</x:f>
        <x:v>31</x:v>
      </x:c>
      <x:c r="G19" s="13" t="n">
        <x:f>'型材零售价'!E19-$B$34</x:f>
        <x:v>37</x:v>
      </x:c>
    </x:row>
    <x:row r="20" ht="27" customHeight="1">
      <x:c r="A20" s="9" t="str">
        <x:v>2047</x:v>
      </x:c>
      <x:c r="B20" s="12" t="n">
        <x:f>'型材零售价'!C20-$B$33</x:f>
        <x:v>39</x:v>
      </x:c>
      <x:c r="C20" s="12" t="n">
        <x:f>'型材零售价'!D20-$B$33</x:f>
        <x:v>46</x:v>
      </x:c>
      <x:c r="D20" s="12" t="n">
        <x:f>'型材零售价'!E20-$B$33</x:f>
        <x:v>56</x:v>
      </x:c>
      <x:c r="E20" s="12" t="n">
        <x:f>'型材零售价'!C20-$B$34</x:f>
        <x:v>37</x:v>
      </x:c>
      <x:c r="F20" s="12" t="n">
        <x:f>'型材零售价'!D20-$B$34</x:f>
        <x:v>44</x:v>
      </x:c>
      <x:c r="G20" s="12" t="n">
        <x:f>'型材零售价'!E20-$B$34</x:f>
        <x:v>54</x:v>
      </x:c>
    </x:row>
    <x:row r="21" ht="27" customHeight="1">
      <x:c r="A21" s="2" t="str">
        <x:v>2060</x:v>
      </x:c>
      <x:c r="B21" s="13" t="n">
        <x:f>'型材零售价'!C21-$B$33</x:f>
        <x:v>63</x:v>
      </x:c>
      <x:c r="C21" s="13" t="n">
        <x:f>'型材零售价'!D21-$B$33</x:f>
        <x:v>88</x:v>
      </x:c>
      <x:c r="D21" s="13" t="n">
        <x:f>'型材零售价'!E21-$B$33</x:f>
        <x:v>118</x:v>
      </x:c>
      <x:c r="E21" s="13" t="n">
        <x:f>'型材零售价'!C21-$B$34</x:f>
        <x:v>61</x:v>
      </x:c>
      <x:c r="F21" s="13" t="n">
        <x:f>'型材零售价'!D21-$B$34</x:f>
        <x:v>86</x:v>
      </x:c>
      <x:c r="G21" s="13" t="n">
        <x:f>'型材零售价'!E21-$B$34</x:f>
        <x:v>116</x:v>
      </x:c>
    </x:row>
    <x:row r="22" ht="27" customHeight="1">
      <x:c r="A22" s="9" t="str">
        <x:v>20100</x:v>
      </x:c>
      <x:c r="B22" s="12" t="n">
        <x:f>'型材零售价'!C22-$B$33</x:f>
        <x:v>78</x:v>
      </x:c>
      <x:c r="C22" s="12" t="n">
        <x:f>'型材零售价'!D22-$B$33</x:f>
        <x:v>108</x:v>
      </x:c>
      <x:c r="D22" s="12" t="n">
        <x:f>'型材零售价'!E22-$B$33</x:f>
        <x:v>138</x:v>
      </x:c>
      <x:c r="E22" s="12" t="n">
        <x:f>'型材零售价'!C22-$B$34</x:f>
        <x:v>76</x:v>
      </x:c>
      <x:c r="F22" s="12" t="n">
        <x:f>'型材零售价'!D22-$B$34</x:f>
        <x:v>106</x:v>
      </x:c>
      <x:c r="G22" s="12" t="n">
        <x:f>'型材零售价'!E22-$B$34</x:f>
        <x:v>136</x:v>
      </x:c>
    </x:row>
    <x:row r="23" ht="27" customHeight="1">
      <x:c r="A23" s="2" t="str">
        <x:v>3030</x:v>
      </x:c>
      <x:c r="B23" s="13" t="n">
        <x:f>'型材零售价'!C23-$B$33</x:f>
        <x:v>27</x:v>
      </x:c>
      <x:c r="C23" s="13" t="n">
        <x:f>'型材零售价'!D23-$B$33</x:f>
        <x:v>33</x:v>
      </x:c>
      <x:c r="D23" s="13" t="n">
        <x:f>'型材零售价'!E23-$B$33</x:f>
        <x:v>39</x:v>
      </x:c>
      <x:c r="E23" s="13" t="n">
        <x:f>'型材零售价'!C23-$B$34</x:f>
        <x:v>25</x:v>
      </x:c>
      <x:c r="F23" s="13" t="n">
        <x:f>'型材零售价'!D23-$B$34</x:f>
        <x:v>31</x:v>
      </x:c>
      <x:c r="G23" s="13" t="n">
        <x:f>'型材零售价'!E23-$B$34</x:f>
        <x:v>37</x:v>
      </x:c>
    </x:row>
    <x:row r="24" ht="27" customHeight="1">
      <x:c r="A24" s="9" t="str">
        <x:v>3030 N1</x:v>
      </x:c>
      <x:c r="B24" s="12" t="n">
        <x:f>'型材零售价'!C24-$B$33</x:f>
        <x:v>29</x:v>
      </x:c>
      <x:c r="C24" s="12" t="n">
        <x:f>'型材零售价'!D24-$B$33</x:f>
        <x:v>34</x:v>
      </x:c>
      <x:c r="D24" s="12" t="n">
        <x:f>'型材零售价'!E24-$B$33</x:f>
        <x:v>40</x:v>
      </x:c>
      <x:c r="E24" s="12" t="n">
        <x:f>'型材零售价'!C24-$B$34</x:f>
        <x:v>27</x:v>
      </x:c>
      <x:c r="F24" s="12" t="n">
        <x:f>'型材零售价'!D24-$B$34</x:f>
        <x:v>32</x:v>
      </x:c>
      <x:c r="G24" s="12" t="n">
        <x:f>'型材零售价'!E24-$B$34</x:f>
        <x:v>38</x:v>
      </x:c>
    </x:row>
    <x:row r="25" ht="27" customHeight="1">
      <x:c r="A25" s="2" t="str">
        <x:v>3030 N2</x:v>
      </x:c>
      <x:c r="B25" s="13" t="n">
        <x:f>'型材零售价'!C25-$B$33</x:f>
        <x:v>30</x:v>
      </x:c>
      <x:c r="C25" s="13" t="n">
        <x:f>'型材零售价'!D25-$B$33</x:f>
        <x:v>36</x:v>
      </x:c>
      <x:c r="D25" s="13" t="n">
        <x:f>'型材零售价'!E25-$B$33</x:f>
        <x:v>42</x:v>
      </x:c>
      <x:c r="E25" s="13" t="n">
        <x:f>'型材零售价'!C25-$B$34</x:f>
        <x:v>28</x:v>
      </x:c>
      <x:c r="F25" s="13" t="n">
        <x:f>'型材零售价'!D25-$B$34</x:f>
        <x:v>34</x:v>
      </x:c>
      <x:c r="G25" s="13" t="n">
        <x:f>'型材零售价'!E25-$B$34</x:f>
        <x:v>40</x:v>
      </x:c>
    </x:row>
    <x:row r="26" ht="27" customHeight="1">
      <x:c r="A26" s="9" t="str">
        <x:v>3030R</x:v>
      </x:c>
      <x:c r="B26" s="12" t="n">
        <x:f>'型材零售价'!C26-$B$33</x:f>
        <x:v>30</x:v>
      </x:c>
      <x:c r="C26" s="12" t="n">
        <x:f>'型材零售价'!D26-$B$33</x:f>
        <x:v>36</x:v>
      </x:c>
      <x:c r="D26" s="12" t="n">
        <x:f>'型材零售价'!E26-$B$33</x:f>
        <x:v>42</x:v>
      </x:c>
      <x:c r="E26" s="12" t="n">
        <x:f>'型材零售价'!C26-$B$34</x:f>
        <x:v>28</x:v>
      </x:c>
      <x:c r="F26" s="12" t="n">
        <x:f>'型材零售价'!D26-$B$34</x:f>
        <x:v>34</x:v>
      </x:c>
      <x:c r="G26" s="12" t="n">
        <x:f>'型材零售价'!E26-$B$34</x:f>
        <x:v>40</x:v>
      </x:c>
    </x:row>
    <x:row r="27" ht="27" customHeight="1">
      <x:c r="A27" s="2" t="str">
        <x:v>3060</x:v>
      </x:c>
      <x:c r="B27" s="13" t="n">
        <x:f>'型材零售价'!C27-$B$33</x:f>
        <x:v>51</x:v>
      </x:c>
      <x:c r="C27" s="13" t="n">
        <x:f>'型材零售价'!D27-$B$33</x:f>
        <x:v>58</x:v>
      </x:c>
      <x:c r="D27" s="13" t="n">
        <x:f>'型材零售价'!E27-$B$33</x:f>
        <x:v>68</x:v>
      </x:c>
      <x:c r="E27" s="13" t="n">
        <x:f>'型材零售价'!C27-$B$34</x:f>
        <x:v>49</x:v>
      </x:c>
      <x:c r="F27" s="13" t="n">
        <x:f>'型材零售价'!D27-$B$34</x:f>
        <x:v>56</x:v>
      </x:c>
      <x:c r="G27" s="13" t="n">
        <x:f>'型材零售价'!E27-$B$34</x:f>
        <x:v>66</x:v>
      </x:c>
    </x:row>
    <x:row r="28" ht="27" customHeight="1">
      <x:c r="A28" s="9" t="str">
        <x:v>3060 N1-60</x:v>
      </x:c>
      <x:c r="B28" s="12" t="n">
        <x:f>'型材零售价'!C28-$B$33</x:f>
        <x:v>57</x:v>
      </x:c>
      <x:c r="C28" s="12" t="n">
        <x:f>'型材零售价'!D28-$B$33</x:f>
        <x:v>61</x:v>
      </x:c>
      <x:c r="D28" s="12" t="n">
        <x:f>'型材零售价'!E28-$B$33</x:f>
        <x:v>71</x:v>
      </x:c>
      <x:c r="E28" s="12" t="n">
        <x:f>'型材零售价'!C28-$B$34</x:f>
        <x:v>55</x:v>
      </x:c>
      <x:c r="F28" s="12" t="n">
        <x:f>'型材零售价'!D28-$B$34</x:f>
        <x:v>59</x:v>
      </x:c>
      <x:c r="G28" s="12" t="n">
        <x:f>'型材零售价'!E28-$B$34</x:f>
        <x:v>69</x:v>
      </x:c>
    </x:row>
    <x:row r="29" ht="27" customHeight="1">
      <x:c r="A29" s="2" t="str">
        <x:v>4040</x:v>
      </x:c>
      <x:c r="B29" s="13" t="n">
        <x:f>'型材零售价'!C29-$B$33</x:f>
        <x:v>43</x:v>
      </x:c>
      <x:c r="C29" s="13" t="n">
        <x:f>'型材零售价'!D29-$B$33</x:f>
        <x:v>50</x:v>
      </x:c>
      <x:c r="D29" s="13" t="n">
        <x:f>'型材零售价'!E29-$B$33</x:f>
        <x:v>60</x:v>
      </x:c>
      <x:c r="E29" s="13" t="n">
        <x:f>'型材零售价'!C29-$B$34</x:f>
        <x:v>41</x:v>
      </x:c>
      <x:c r="F29" s="13" t="n">
        <x:f>'型材零售价'!D29-$B$34</x:f>
        <x:v>48</x:v>
      </x:c>
      <x:c r="G29" s="13" t="n">
        <x:f>'型材零售价'!E29-$B$34</x:f>
        <x:v>58</x:v>
      </x:c>
    </x:row>
    <x:row r="30" ht="27" customHeight="1">
      <x:c r="A30" s="9" t="str">
        <x:v>4080</x:v>
      </x:c>
      <x:c r="B30" s="12" t="n">
        <x:f>'型材零售价'!C30-$B$33</x:f>
        <x:v>78</x:v>
      </x:c>
      <x:c r="C30" s="12" t="n">
        <x:f>'型材零售价'!D30-$B$33</x:f>
        <x:v>108</x:v>
      </x:c>
      <x:c r="D30" s="12" t="n">
        <x:f>'型材零售价'!E30-$B$33</x:f>
        <x:v>138</x:v>
      </x:c>
      <x:c r="E30" s="12" t="n">
        <x:f>'型材零售价'!C30-$B$34</x:f>
        <x:v>76</x:v>
      </x:c>
      <x:c r="F30" s="12" t="n">
        <x:f>'型材零售价'!D30-$B$34</x:f>
        <x:v>106</x:v>
      </x:c>
      <x:c r="G30" s="12" t="n">
        <x:f>'型材零售价'!E30-$B$34</x:f>
        <x:v>136</x:v>
      </x:c>
    </x:row>
    <x:row r="31">
      <x:c r="A31" s="2"/>
      <x:c r="B31" s="2"/>
      <x:c r="C31" s="2"/>
      <x:c r="D31" s="2"/>
      <x:c r="E31" s="2"/>
      <x:c r="F31" s="2"/>
      <x:c r="G31" s="2"/>
    </x:row>
    <x:row r="33">
      <x:c r="A33" t="str">
        <x:v>VIP每米优惠</x:v>
      </x:c>
      <x:c r="B33" s="17" t="n">
        <x:v>2</x:v>
      </x:c>
    </x:row>
    <x:row r="34">
      <x:c r="A34" t="str">
        <x:v>VIP+每米优惠</x:v>
      </x:c>
      <x:c r="B34" s="17" t="n">
        <x:v>4</x:v>
      </x:c>
    </x:row>
    <x:row r="36">
      <x:c r="A36" s="16" t="str">
        <x:v>单位：元 / 米。VIP零售价减2元，VIP+减4元；会员优惠只作用于材料米价。</x:v>
      </x:c>
    </x:row>
    <x:row r="37">
      <x:c r="A37" s="16" t="str">
        <x:v>会员资格与颜色/截面可选组合以网站为准；原渠道表中3.15米长度已更正为网站3000mm。</x:v>
      </x:c>
    </x:row>
    <x:row r="38">
      <x:c r="A38" s="16" t="str">
        <x:v>来源：https://mengkaile.top/#/product/p2；当前米价引用型材零售价页，核对日期 2026-09-08。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D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52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3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铝型材配件价格</x:v>
      </x:c>
      <x:c r="B2" s="2"/>
      <x:c r="C2" s="2"/>
      <x:c r="D2" s="2"/>
      <x:c r="E2" s="2"/>
      <x:c r="F2" s="2"/>
      <x:c r="G2" s="2"/>
    </x:row>
    <x:row r="3">
      <x:c r="A3" s="4" t="str">
        <x:v>萌开了家居 · 2026.09 · 人民币报价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8" t="str">
        <x:v>适配型材</x:v>
      </x:c>
      <x:c r="B5" s="8" t="str">
        <x:v>配件名称</x:v>
      </x:c>
      <x:c r="C5" s="8" t="str">
        <x:v>银白</x:v>
      </x:c>
      <x:c r="D5" s="8" t="str">
        <x:v>彩色</x:v>
      </x:c>
      <x:c r="E5" s="8" t="str">
        <x:v>银白≥20件</x:v>
      </x:c>
      <x:c r="F5" s="8" t="str">
        <x:v>彩色≥20件</x:v>
      </x:c>
      <x:c r="G5" s="8" t="str">
        <x:v>配套说明</x:v>
      </x:c>
    </x:row>
    <x:row r="6" ht="27" customHeight="1">
      <x:c r="A6" s="9" t="str">
        <x:v>1515</x:v>
      </x:c>
      <x:c r="B6" s="9" t="str">
        <x:v>2号角码（不含螺丝）</x:v>
      </x:c>
      <x:c r="C6" s="12" t="n">
        <x:v>3</x:v>
      </x:c>
      <x:c r="D6" s="12" t="n">
        <x:v>3.5</x:v>
      </x:c>
      <x:c r="E6" s="12" t="n">
        <x:v>2.5</x:v>
      </x:c>
      <x:c r="F6" s="12" t="n">
        <x:v>3</x:v>
      </x:c>
      <x:c r="G6" s="9" t="str"/>
    </x:row>
    <x:row r="7" ht="27" customHeight="1">
      <x:c r="A7" s="2" t="str">
        <x:v>1515</x:v>
      </x:c>
      <x:c r="B7" s="2" t="str">
        <x:v>7号角码 L型</x:v>
      </x:c>
      <x:c r="C7" s="13" t="n">
        <x:v>3</x:v>
      </x:c>
      <x:c r="D7" s="13" t="n">
        <x:v>3.5</x:v>
      </x:c>
      <x:c r="E7" s="13" t="n">
        <x:v>2.5</x:v>
      </x:c>
      <x:c r="F7" s="13" t="n">
        <x:v>3</x:v>
      </x:c>
      <x:c r="G7" s="2" t="str"/>
    </x:row>
    <x:row r="8" ht="27" customHeight="1">
      <x:c r="A8" s="9" t="str">
        <x:v>1515</x:v>
      </x:c>
      <x:c r="B8" s="9" t="str">
        <x:v>7号角码 T型</x:v>
      </x:c>
      <x:c r="C8" s="12" t="n">
        <x:v>3</x:v>
      </x:c>
      <x:c r="D8" s="12" t="n">
        <x:v>3.5</x:v>
      </x:c>
      <x:c r="E8" s="12" t="n">
        <x:v>2.5</x:v>
      </x:c>
      <x:c r="F8" s="12" t="n">
        <x:v>3</x:v>
      </x:c>
      <x:c r="G8" s="9" t="str"/>
    </x:row>
    <x:row r="9" ht="27" customHeight="1">
      <x:c r="A9" s="2" t="str">
        <x:v>1515</x:v>
      </x:c>
      <x:c r="B9" s="2" t="str">
        <x:v>9号三通</x:v>
      </x:c>
      <x:c r="C9" s="13" t="n">
        <x:v>3</x:v>
      </x:c>
      <x:c r="D9" s="13" t="n">
        <x:v>4</x:v>
      </x:c>
      <x:c r="E9" s="13" t="n">
        <x:v>2.5</x:v>
      </x:c>
      <x:c r="F9" s="13" t="n">
        <x:v>3</x:v>
      </x:c>
      <x:c r="G9" s="2" t="str"/>
    </x:row>
    <x:row r="10" ht="27" customHeight="1">
      <x:c r="A10" s="9" t="str">
        <x:v>1515</x:v>
      </x:c>
      <x:c r="B10" s="9" t="str">
        <x:v>10号螺丝 · 304 M4*6 圆柱头内六角</x:v>
      </x:c>
      <x:c r="C10" s="12" t="n">
        <x:v>0.5</x:v>
      </x:c>
      <x:c r="D10" s="12" t="n">
        <x:v>1</x:v>
      </x:c>
      <x:c r="E10" s="12" t="n">
        <x:v>0.33</x:v>
      </x:c>
      <x:c r="F10" s="12" t="n">
        <x:v>0.8</x:v>
      </x:c>
      <x:c r="G10" s="9" t="str">
        <x:v>1515：搭配7号配件</x:v>
      </x:c>
    </x:row>
    <x:row r="11" ht="27" customHeight="1">
      <x:c r="A11" s="2" t="str">
        <x:v>1515</x:v>
      </x:c>
      <x:c r="B11" s="2" t="str">
        <x:v>10号螺丝 · 304 M4*12 圆柱头内六角</x:v>
      </x:c>
      <x:c r="C11" s="13" t="n">
        <x:v>0.5</x:v>
      </x:c>
      <x:c r="D11" s="13" t="n">
        <x:v>1</x:v>
      </x:c>
      <x:c r="E11" s="13" t="n">
        <x:v>0.33</x:v>
      </x:c>
      <x:c r="F11" s="13" t="n">
        <x:v>0.8</x:v>
      </x:c>
      <x:c r="G11" s="2" t="str">
        <x:v>1515：搭配2号配件</x:v>
      </x:c>
    </x:row>
    <x:row r="12" ht="27" customHeight="1">
      <x:c r="A12" s="9" t="str">
        <x:v>1515</x:v>
      </x:c>
      <x:c r="B12" s="9" t="str">
        <x:v>10号螺丝 · 304 M4*10 沉头内六角</x:v>
      </x:c>
      <x:c r="C12" s="12" t="n">
        <x:v>0.5</x:v>
      </x:c>
      <x:c r="D12" s="12" t="n">
        <x:v>1</x:v>
      </x:c>
      <x:c r="E12" s="12" t="n">
        <x:v>0.33</x:v>
      </x:c>
      <x:c r="F12" s="12" t="n">
        <x:v>0.8</x:v>
      </x:c>
      <x:c r="G12" s="9" t="str">
        <x:v>1515：搭配9号配件</x:v>
      </x:c>
    </x:row>
    <x:row r="13" ht="27" customHeight="1">
      <x:c r="A13" s="2" t="str">
        <x:v>1515</x:v>
      </x:c>
      <x:c r="B13" s="2" t="str">
        <x:v>10号配件 · 304 1515 M4 T型螺母</x:v>
      </x:c>
      <x:c r="C13" s="13" t="n">
        <x:v>0.5</x:v>
      </x:c>
      <x:c r="D13" s="13" t="n">
        <x:v>1</x:v>
      </x:c>
      <x:c r="E13" s="13" t="n">
        <x:v>0.33</x:v>
      </x:c>
      <x:c r="F13" s="13" t="n">
        <x:v>0.8</x:v>
      </x:c>
      <x:c r="G13" s="2" t="str">
        <x:v>1515：T型螺母</x:v>
      </x:c>
    </x:row>
    <x:row r="14" ht="27" customHeight="1">
      <x:c r="A14" s="9" t="str">
        <x:v>2020</x:v>
      </x:c>
      <x:c r="B14" s="9" t="str">
        <x:v>1号角码配螺丝</x:v>
      </x:c>
      <x:c r="C14" s="12" t="n">
        <x:v>1</x:v>
      </x:c>
      <x:c r="D14" s="12" t="n">
        <x:v>3</x:v>
      </x:c>
      <x:c r="E14" s="12" t="n">
        <x:v>0.9</x:v>
      </x:c>
      <x:c r="F14" s="12" t="n">
        <x:v>2.5</x:v>
      </x:c>
      <x:c r="G14" s="9" t="str"/>
    </x:row>
    <x:row r="15" ht="27" customHeight="1">
      <x:c r="A15" s="2" t="str">
        <x:v>2020</x:v>
      </x:c>
      <x:c r="B15" s="2" t="str">
        <x:v>2号角码（不含螺丝）</x:v>
      </x:c>
      <x:c r="C15" s="13" t="n">
        <x:v>4</x:v>
      </x:c>
      <x:c r="D15" s="13" t="n">
        <x:v>5</x:v>
      </x:c>
      <x:c r="E15" s="13" t="n">
        <x:v>3.2</x:v>
      </x:c>
      <x:c r="F15" s="13" t="n">
        <x:v>4</x:v>
      </x:c>
      <x:c r="G15" s="2" t="str"/>
    </x:row>
    <x:row r="16" ht="27" customHeight="1">
      <x:c r="A16" s="9" t="str">
        <x:v>2020</x:v>
      </x:c>
      <x:c r="B16" s="9" t="str">
        <x:v>5号角码配顶丝</x:v>
      </x:c>
      <x:c r="C16" s="12" t="n">
        <x:v>1</x:v>
      </x:c>
      <x:c r="D16" s="12" t="n">
        <x:v>3</x:v>
      </x:c>
      <x:c r="E16" s="12" t="n">
        <x:v>0.9</x:v>
      </x:c>
      <x:c r="F16" s="12" t="n">
        <x:v>2.5</x:v>
      </x:c>
      <x:c r="G16" s="9" t="str"/>
    </x:row>
    <x:row r="17" ht="27" customHeight="1">
      <x:c r="A17" s="2" t="str">
        <x:v>2020</x:v>
      </x:c>
      <x:c r="B17" s="2" t="str">
        <x:v>7号角码 L型</x:v>
      </x:c>
      <x:c r="C17" s="13" t="n">
        <x:v>3</x:v>
      </x:c>
      <x:c r="D17" s="13" t="n">
        <x:v>3.5</x:v>
      </x:c>
      <x:c r="E17" s="13" t="n">
        <x:v>2.5</x:v>
      </x:c>
      <x:c r="F17" s="13" t="n">
        <x:v>3</x:v>
      </x:c>
      <x:c r="G17" s="2" t="str"/>
    </x:row>
    <x:row r="18" ht="27" customHeight="1">
      <x:c r="A18" s="9" t="str">
        <x:v>2020</x:v>
      </x:c>
      <x:c r="B18" s="9" t="str">
        <x:v>7号角码 T型</x:v>
      </x:c>
      <x:c r="C18" s="12" t="n">
        <x:v>3</x:v>
      </x:c>
      <x:c r="D18" s="12" t="n">
        <x:v>3.5</x:v>
      </x:c>
      <x:c r="E18" s="12" t="n">
        <x:v>2.5</x:v>
      </x:c>
      <x:c r="F18" s="12" t="n">
        <x:v>3</x:v>
      </x:c>
      <x:c r="G18" s="9" t="str"/>
    </x:row>
    <x:row r="19" ht="27" customHeight="1">
      <x:c r="A19" s="2" t="str">
        <x:v>2020</x:v>
      </x:c>
      <x:c r="B19" s="2" t="str">
        <x:v>9号三通</x:v>
      </x:c>
      <x:c r="C19" s="13" t="n">
        <x:v>4</x:v>
      </x:c>
      <x:c r="D19" s="13" t="n">
        <x:v>5</x:v>
      </x:c>
      <x:c r="E19" s="13" t="n">
        <x:v>3.5</x:v>
      </x:c>
      <x:c r="F19" s="13" t="n">
        <x:v>4</x:v>
      </x:c>
      <x:c r="G19" s="2" t="str"/>
    </x:row>
    <x:row r="20" ht="27" customHeight="1">
      <x:c r="A20" s="9" t="str">
        <x:v>2020</x:v>
      </x:c>
      <x:c r="B20" s="9" t="str">
        <x:v>2020铝型材端盖</x:v>
      </x:c>
      <x:c r="C20" s="12" t="n">
        <x:v>3</x:v>
      </x:c>
      <x:c r="D20" s="12" t="n">
        <x:v>3</x:v>
      </x:c>
      <x:c r="E20" s="12" t="n">
        <x:v>2.7</x:v>
      </x:c>
      <x:c r="F20" s="12" t="n">
        <x:v>2.7</x:v>
      </x:c>
      <x:c r="G20" s="9" t="str"/>
    </x:row>
    <x:row r="21" ht="27" customHeight="1">
      <x:c r="A21" s="2" t="str">
        <x:v>2020</x:v>
      </x:c>
      <x:c r="B21" s="2" t="str">
        <x:v>10号螺丝 · 304 M5*14 圆柱头内六角</x:v>
      </x:c>
      <x:c r="C21" s="13" t="n">
        <x:v>0.5</x:v>
      </x:c>
      <x:c r="D21" s="13" t="n">
        <x:v>1</x:v>
      </x:c>
      <x:c r="E21" s="13" t="n">
        <x:v>0.33</x:v>
      </x:c>
      <x:c r="F21" s="13" t="n">
        <x:v>0.8</x:v>
      </x:c>
      <x:c r="G21" s="2" t="str">
        <x:v>2020：搭配2号配件</x:v>
      </x:c>
    </x:row>
    <x:row r="22" ht="27" customHeight="1">
      <x:c r="A22" s="9" t="str">
        <x:v>2020</x:v>
      </x:c>
      <x:c r="B22" s="9" t="str">
        <x:v>10号螺丝 · 304 M5*8 圆柱头内六角</x:v>
      </x:c>
      <x:c r="C22" s="12" t="n">
        <x:v>0.5</x:v>
      </x:c>
      <x:c r="D22" s="12" t="n">
        <x:v>1</x:v>
      </x:c>
      <x:c r="E22" s="12" t="n">
        <x:v>0.33</x:v>
      </x:c>
      <x:c r="F22" s="12" t="n">
        <x:v>0.8</x:v>
      </x:c>
      <x:c r="G22" s="9" t="str">
        <x:v>2020：搭配7号配件</x:v>
      </x:c>
    </x:row>
    <x:row r="23" ht="27" customHeight="1">
      <x:c r="A23" s="2" t="str">
        <x:v>2020</x:v>
      </x:c>
      <x:c r="B23" s="2" t="str">
        <x:v>10号螺丝 · 304 M6*20 沉头内六角</x:v>
      </x:c>
      <x:c r="C23" s="13" t="n">
        <x:v>0.5</x:v>
      </x:c>
      <x:c r="D23" s="13" t="n">
        <x:v>1</x:v>
      </x:c>
      <x:c r="E23" s="13" t="n">
        <x:v>0.33</x:v>
      </x:c>
      <x:c r="F23" s="13" t="n">
        <x:v>0.8</x:v>
      </x:c>
      <x:c r="G23" s="2" t="str">
        <x:v>2020：搭配9号配件</x:v>
      </x:c>
    </x:row>
    <x:row r="24" ht="27" customHeight="1">
      <x:c r="A24" s="9" t="str">
        <x:v>2020</x:v>
      </x:c>
      <x:c r="B24" s="9" t="str">
        <x:v>10号配件 · 304 2020 M5 T型螺母</x:v>
      </x:c>
      <x:c r="C24" s="12" t="n">
        <x:v>0.5</x:v>
      </x:c>
      <x:c r="D24" s="12" t="n">
        <x:v>1</x:v>
      </x:c>
      <x:c r="E24" s="12" t="n">
        <x:v>0.33</x:v>
      </x:c>
      <x:c r="F24" s="12" t="n">
        <x:v>0.8</x:v>
      </x:c>
      <x:c r="G24" s="9" t="str">
        <x:v>2020：T型螺母</x:v>
      </x:c>
    </x:row>
    <x:row r="25" ht="27" customHeight="1">
      <x:c r="A25" s="2" t="str">
        <x:v>3030</x:v>
      </x:c>
      <x:c r="B25" s="2" t="str">
        <x:v>1号角码配螺丝</x:v>
      </x:c>
      <x:c r="C25" s="13" t="n">
        <x:v>2</x:v>
      </x:c>
      <x:c r="D25" s="13" t="n">
        <x:v>4</x:v>
      </x:c>
      <x:c r="E25" s="13" t="n">
        <x:v>1.5</x:v>
      </x:c>
      <x:c r="F25" s="13" t="n">
        <x:v>3.1</x:v>
      </x:c>
      <x:c r="G25" s="2" t="str"/>
    </x:row>
    <x:row r="26" ht="27" customHeight="1">
      <x:c r="A26" s="9" t="str">
        <x:v>3030</x:v>
      </x:c>
      <x:c r="B26" s="9" t="str">
        <x:v>2号角码（不含螺丝）</x:v>
      </x:c>
      <x:c r="C26" s="12" t="n">
        <x:v>6</x:v>
      </x:c>
      <x:c r="D26" s="12" t="n">
        <x:v>8</x:v>
      </x:c>
      <x:c r="E26" s="12" t="n">
        <x:v>4.5</x:v>
      </x:c>
      <x:c r="F26" s="12" t="n">
        <x:v>6</x:v>
      </x:c>
      <x:c r="G26" s="9" t="str"/>
    </x:row>
    <x:row r="27" ht="27" customHeight="1">
      <x:c r="A27" s="2" t="str">
        <x:v>3030</x:v>
      </x:c>
      <x:c r="B27" s="2" t="str">
        <x:v>5号角码配顶丝</x:v>
      </x:c>
      <x:c r="C27" s="13" t="n">
        <x:v>1.5</x:v>
      </x:c>
      <x:c r="D27" s="13" t="n">
        <x:v>3.5</x:v>
      </x:c>
      <x:c r="E27" s="13" t="n">
        <x:v>1.3</x:v>
      </x:c>
      <x:c r="F27" s="13" t="n">
        <x:v>3.1</x:v>
      </x:c>
      <x:c r="G27" s="2" t="str"/>
    </x:row>
    <x:row r="28" ht="27" customHeight="1">
      <x:c r="A28" s="9" t="str">
        <x:v>3030</x:v>
      </x:c>
      <x:c r="B28" s="9" t="str">
        <x:v>7号角码 L型</x:v>
      </x:c>
      <x:c r="C28" s="12" t="n">
        <x:v>4.5</x:v>
      </x:c>
      <x:c r="D28" s="12" t="n">
        <x:v>5</x:v>
      </x:c>
      <x:c r="E28" s="12" t="n">
        <x:v>3.5</x:v>
      </x:c>
      <x:c r="F28" s="12" t="n">
        <x:v>4</x:v>
      </x:c>
      <x:c r="G28" s="9" t="str"/>
    </x:row>
    <x:row r="29" ht="27" customHeight="1">
      <x:c r="A29" s="2" t="str">
        <x:v>3030</x:v>
      </x:c>
      <x:c r="B29" s="2" t="str">
        <x:v>7号角码 T型</x:v>
      </x:c>
      <x:c r="C29" s="13" t="n">
        <x:v>4.5</x:v>
      </x:c>
      <x:c r="D29" s="13" t="n">
        <x:v>5</x:v>
      </x:c>
      <x:c r="E29" s="13" t="n">
        <x:v>3.5</x:v>
      </x:c>
      <x:c r="F29" s="13" t="n">
        <x:v>4</x:v>
      </x:c>
      <x:c r="G29" s="2" t="str"/>
    </x:row>
    <x:row r="30" ht="27" customHeight="1">
      <x:c r="A30" s="9" t="str">
        <x:v>3030</x:v>
      </x:c>
      <x:c r="B30" s="9" t="str">
        <x:v>9号三通</x:v>
      </x:c>
      <x:c r="C30" s="12" t="n">
        <x:v>6</x:v>
      </x:c>
      <x:c r="D30" s="12" t="n">
        <x:v>7</x:v>
      </x:c>
      <x:c r="E30" s="12" t="n">
        <x:v>5.5</x:v>
      </x:c>
      <x:c r="F30" s="12" t="n">
        <x:v>6</x:v>
      </x:c>
      <x:c r="G30" s="9" t="str"/>
    </x:row>
    <x:row r="31" ht="27" customHeight="1">
      <x:c r="A31" s="2" t="str">
        <x:v>3030</x:v>
      </x:c>
      <x:c r="B31" s="2" t="str">
        <x:v>3030铝型材端盖</x:v>
      </x:c>
      <x:c r="C31" s="13" t="n">
        <x:v>4</x:v>
      </x:c>
      <x:c r="D31" s="13" t="n">
        <x:v>4</x:v>
      </x:c>
      <x:c r="E31" s="13" t="n">
        <x:v>3.5</x:v>
      </x:c>
      <x:c r="F31" s="13" t="n">
        <x:v>3.5</x:v>
      </x:c>
      <x:c r="G31" s="2" t="str"/>
    </x:row>
    <x:row r="32" ht="27" customHeight="1">
      <x:c r="A32" s="9" t="str">
        <x:v>3030</x:v>
      </x:c>
      <x:c r="B32" s="9" t="str">
        <x:v>10号螺丝 · 304 M6*18 圆柱头内六角</x:v>
      </x:c>
      <x:c r="C32" s="12" t="n">
        <x:v>0.75</x:v>
      </x:c>
      <x:c r="D32" s="12" t="n">
        <x:v>1.25</x:v>
      </x:c>
      <x:c r="E32" s="12" t="n">
        <x:v>0.5</x:v>
      </x:c>
      <x:c r="F32" s="12" t="n">
        <x:v>1</x:v>
      </x:c>
      <x:c r="G32" s="9" t="str">
        <x:v>3030：搭配2号配件</x:v>
      </x:c>
    </x:row>
    <x:row r="33" ht="27" customHeight="1">
      <x:c r="A33" s="2" t="str">
        <x:v>3030</x:v>
      </x:c>
      <x:c r="B33" s="2" t="str">
        <x:v>10号螺丝 · 304 M6*12 圆柱头内六角</x:v>
      </x:c>
      <x:c r="C33" s="13" t="n">
        <x:v>0.75</x:v>
      </x:c>
      <x:c r="D33" s="13" t="n">
        <x:v>1.25</x:v>
      </x:c>
      <x:c r="E33" s="13" t="n">
        <x:v>0.5</x:v>
      </x:c>
      <x:c r="F33" s="13" t="n">
        <x:v>1</x:v>
      </x:c>
      <x:c r="G33" s="2" t="str">
        <x:v>3030：搭配7号配件</x:v>
      </x:c>
    </x:row>
    <x:row r="34" ht="27" customHeight="1">
      <x:c r="A34" s="9" t="str">
        <x:v>3030</x:v>
      </x:c>
      <x:c r="B34" s="9" t="str">
        <x:v>10号螺丝 · 304 M8*20 沉头内六角</x:v>
      </x:c>
      <x:c r="C34" s="12" t="n">
        <x:v>0.75</x:v>
      </x:c>
      <x:c r="D34" s="12" t="n">
        <x:v>1.25</x:v>
      </x:c>
      <x:c r="E34" s="12" t="n">
        <x:v>0.5</x:v>
      </x:c>
      <x:c r="F34" s="12" t="n">
        <x:v>1</x:v>
      </x:c>
      <x:c r="G34" s="9" t="str">
        <x:v>3030：搭配9号配件</x:v>
      </x:c>
    </x:row>
    <x:row r="35" ht="27" customHeight="1">
      <x:c r="A35" s="2" t="str">
        <x:v>3030</x:v>
      </x:c>
      <x:c r="B35" s="2" t="str">
        <x:v>10号配件 · 304 3030 M6 T型螺母</x:v>
      </x:c>
      <x:c r="C35" s="13" t="n">
        <x:v>0.75</x:v>
      </x:c>
      <x:c r="D35" s="13" t="n">
        <x:v>1.25</x:v>
      </x:c>
      <x:c r="E35" s="13" t="n">
        <x:v>0.5</x:v>
      </x:c>
      <x:c r="F35" s="13" t="n">
        <x:v>1</x:v>
      </x:c>
      <x:c r="G35" s="2" t="str">
        <x:v>3030：T型螺母</x:v>
      </x:c>
    </x:row>
    <x:row r="36" ht="27" customHeight="1">
      <x:c r="A36" s="9" t="str">
        <x:v>4040</x:v>
      </x:c>
      <x:c r="B36" s="9" t="str">
        <x:v>7号角码 L型</x:v>
      </x:c>
      <x:c r="C36" s="12" t="n">
        <x:v>6</x:v>
      </x:c>
      <x:c r="D36" s="12" t="n">
        <x:v>8</x:v>
      </x:c>
      <x:c r="E36" s="12" t="n">
        <x:v>4.5</x:v>
      </x:c>
      <x:c r="F36" s="12" t="n">
        <x:v>6</x:v>
      </x:c>
      <x:c r="G36" s="9" t="str"/>
    </x:row>
    <x:row r="37" ht="27" customHeight="1">
      <x:c r="A37" s="2" t="str">
        <x:v>4040</x:v>
      </x:c>
      <x:c r="B37" s="2" t="str">
        <x:v>7号角码 T型</x:v>
      </x:c>
      <x:c r="C37" s="13" t="n">
        <x:v>6</x:v>
      </x:c>
      <x:c r="D37" s="13" t="n">
        <x:v>8</x:v>
      </x:c>
      <x:c r="E37" s="13" t="n">
        <x:v>4.5</x:v>
      </x:c>
      <x:c r="F37" s="13" t="n">
        <x:v>6</x:v>
      </x:c>
      <x:c r="G37" s="2" t="str"/>
    </x:row>
    <x:row r="38">
      <x:c r="A38" s="2"/>
      <x:c r="B38" s="2"/>
      <x:c r="C38" s="2"/>
      <x:c r="D38" s="2"/>
      <x:c r="E38" s="2"/>
      <x:c r="F38" s="2"/>
      <x:c r="G38" s="2"/>
    </x:row>
    <x:row r="40">
      <x:c r="A40" s="16" t="str">
        <x:v>单位：元 / 件。批量门槛为同一配件明细≥20件；不同明细数量不合并。</x:v>
      </x:c>
    </x:row>
    <x:row r="41">
      <x:c r="A41" s="16" t="str">
        <x:v>1号配螺丝，5号配顶丝，2号不含螺丝。端盖2020/3030所有颜色同价。</x:v>
      </x:c>
    </x:row>
    <x:row r="42">
      <x:c r="A42" s="16" t="str">
        <x:v>来源：https://mengkaile.top/#/product/accessory；线上版本核对日期 2026-09-08。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28B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14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原配件表历史参考（不作为当前报价）</x:v>
      </x:c>
      <x:c r="B2" s="2"/>
      <x:c r="C2" s="2"/>
      <x:c r="D2" s="2"/>
      <x:c r="E2" s="2"/>
      <x:c r="F2" s="2"/>
      <x:c r="G2" s="2"/>
    </x:row>
    <x:row r="3">
      <x:c r="A3" s="4" t="str">
        <x:v>萌开了家居 · 2026.09 · 人民币报价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8" t="str">
        <x:v>规格</x:v>
      </x:c>
      <x:c r="B5" s="8" t="str">
        <x:v>原配件名称</x:v>
      </x:c>
      <x:c r="C5" s="8" t="str">
        <x:v>材质</x:v>
      </x:c>
      <x:c r="D5" s="8" t="str">
        <x:v>原银白</x:v>
      </x:c>
      <x:c r="E5" s="8" t="str">
        <x:v>原彩色</x:v>
      </x:c>
      <x:c r="F5" s="8" t="str">
        <x:v>原银白批量</x:v>
      </x:c>
      <x:c r="G5" s="8" t="str">
        <x:v>原彩色批量</x:v>
      </x:c>
    </x:row>
    <x:row r="6" ht="27" customHeight="1">
      <x:c r="A6" s="9" t="str">
        <x:v>2020</x:v>
      </x:c>
      <x:c r="B6" s="9" t="str">
        <x:v>1号角码配螺丝</x:v>
      </x:c>
      <x:c r="C6" s="9" t="str">
        <x:v>压铸铝</x:v>
      </x:c>
      <x:c r="D6" s="12" t="n">
        <x:v>1</x:v>
      </x:c>
      <x:c r="E6" s="12" t="n">
        <x:v>3</x:v>
      </x:c>
      <x:c r="F6" s="12" t="n">
        <x:v>0.8</x:v>
      </x:c>
      <x:c r="G6" s="12" t="n">
        <x:v>2.5</x:v>
      </x:c>
    </x:row>
    <x:row r="7" ht="27" customHeight="1">
      <x:c r="A7" s="2" t="str">
        <x:v>2020</x:v>
      </x:c>
      <x:c r="B7" s="2" t="str">
        <x:v>2号角码only</x:v>
      </x:c>
      <x:c r="C7" s="2" t="str">
        <x:v>挤压铝</x:v>
      </x:c>
      <x:c r="D7" s="13" t="n">
        <x:v>4</x:v>
      </x:c>
      <x:c r="E7" s="13" t="n">
        <x:v>5</x:v>
      </x:c>
      <x:c r="F7" s="13" t="n">
        <x:v>3</x:v>
      </x:c>
      <x:c r="G7" s="13" t="n">
        <x:v>4.7</x:v>
      </x:c>
    </x:row>
    <x:row r="8" ht="27" customHeight="1">
      <x:c r="A8" s="9" t="str">
        <x:v>2020</x:v>
      </x:c>
      <x:c r="B8" s="9" t="str">
        <x:v>5号角码配顶丝</x:v>
      </x:c>
      <x:c r="C8" s="9" t="n">
        <x:v>304</x:v>
      </x:c>
      <x:c r="D8" s="12" t="n">
        <x:v>1</x:v>
      </x:c>
      <x:c r="E8" s="12" t="n">
        <x:v>3</x:v>
      </x:c>
      <x:c r="F8" s="12" t="n">
        <x:v>0.8</x:v>
      </x:c>
      <x:c r="G8" s="12" t="n">
        <x:v>2.5</x:v>
      </x:c>
    </x:row>
    <x:row r="9" ht="27" customHeight="1">
      <x:c r="A9" s="2" t="str">
        <x:v>2020</x:v>
      </x:c>
      <x:c r="B9" s="2" t="str">
        <x:v>7号角码only</x:v>
      </x:c>
      <x:c r="C9" s="2" t="str">
        <x:v>铝板</x:v>
      </x:c>
      <x:c r="D9" s="13" t="n">
        <x:v>3</x:v>
      </x:c>
      <x:c r="E9" s="13" t="n">
        <x:v>3.5</x:v>
      </x:c>
      <x:c r="F9" s="13" t="n">
        <x:v>2.5</x:v>
      </x:c>
      <x:c r="G9" s="13" t="n">
        <x:v>3</x:v>
      </x:c>
    </x:row>
    <x:row r="10" ht="27" customHeight="1">
      <x:c r="A10" s="9" t="str">
        <x:v>2020</x:v>
      </x:c>
      <x:c r="B10" s="9" t="str">
        <x:v>10号螺丝 M6圆头半圆头</x:v>
      </x:c>
      <x:c r="C10" s="9" t="n">
        <x:v>304</x:v>
      </x:c>
      <x:c r="D10" s="12" t="n">
        <x:v>0.5</x:v>
      </x:c>
      <x:c r="E10" s="12" t="n">
        <x:v>2.5</x:v>
      </x:c>
      <x:c r="F10" s="12" t="n">
        <x:v>0.33</x:v>
      </x:c>
      <x:c r="G10" s="12" t="n">
        <x:v>2</x:v>
      </x:c>
    </x:row>
    <x:row r="11" ht="27" customHeight="1">
      <x:c r="A11" s="2" t="str">
        <x:v>3030</x:v>
      </x:c>
      <x:c r="B11" s="2" t="str">
        <x:v>1号角码配螺丝</x:v>
      </x:c>
      <x:c r="C11" s="2" t="str">
        <x:v>压铸铝</x:v>
      </x:c>
      <x:c r="D11" s="13" t="n">
        <x:v>2</x:v>
      </x:c>
      <x:c r="E11" s="13" t="n">
        <x:v>4</x:v>
      </x:c>
      <x:c r="F11" s="13" t="n">
        <x:v>1.3</x:v>
      </x:c>
      <x:c r="G11" s="13" t="n">
        <x:v>3.1</x:v>
      </x:c>
    </x:row>
    <x:row r="12" ht="27" customHeight="1">
      <x:c r="A12" s="9" t="str">
        <x:v>3030</x:v>
      </x:c>
      <x:c r="B12" s="9" t="str">
        <x:v>2号角码only</x:v>
      </x:c>
      <x:c r="C12" s="9" t="str">
        <x:v>挤压铝</x:v>
      </x:c>
      <x:c r="D12" s="12" t="n">
        <x:v>6</x:v>
      </x:c>
      <x:c r="E12" s="12" t="n">
        <x:v>8</x:v>
      </x:c>
      <x:c r="F12" s="12" t="n">
        <x:v>3.5</x:v>
      </x:c>
      <x:c r="G12" s="12" t="n">
        <x:v>4.3</x:v>
      </x:c>
    </x:row>
    <x:row r="13" ht="27" customHeight="1">
      <x:c r="A13" s="2" t="str">
        <x:v>3030</x:v>
      </x:c>
      <x:c r="B13" s="2" t="str">
        <x:v>5号角码配顶丝</x:v>
      </x:c>
      <x:c r="C13" s="2" t="n">
        <x:v>304</x:v>
      </x:c>
      <x:c r="D13" s="13" t="n">
        <x:v>1.5</x:v>
      </x:c>
      <x:c r="E13" s="13" t="n">
        <x:v>3.5</x:v>
      </x:c>
      <x:c r="F13" s="13" t="n">
        <x:v>1.3</x:v>
      </x:c>
      <x:c r="G13" s="13" t="n">
        <x:v>3.1</x:v>
      </x:c>
    </x:row>
    <x:row r="14" ht="27" customHeight="1">
      <x:c r="A14" s="9" t="str">
        <x:v>3030</x:v>
      </x:c>
      <x:c r="B14" s="9" t="str">
        <x:v>7号角码only</x:v>
      </x:c>
      <x:c r="C14" s="9" t="str">
        <x:v>铝板</x:v>
      </x:c>
      <x:c r="D14" s="12" t="n">
        <x:v>4.5</x:v>
      </x:c>
      <x:c r="E14" s="12" t="n">
        <x:v>5</x:v>
      </x:c>
      <x:c r="F14" s="12" t="n">
        <x:v>3.5</x:v>
      </x:c>
      <x:c r="G14" s="12" t="n">
        <x:v>4</x:v>
      </x:c>
    </x:row>
    <x:row r="15" ht="27" customHeight="1">
      <x:c r="A15" s="2" t="str">
        <x:v>3030</x:v>
      </x:c>
      <x:c r="B15" s="2" t="str">
        <x:v>10号螺丝 M8圆头半圆头</x:v>
      </x:c>
      <x:c r="C15" s="2" t="n">
        <x:v>304</x:v>
      </x:c>
      <x:c r="D15" s="13" t="n">
        <x:v>0.5</x:v>
      </x:c>
      <x:c r="E15" s="13" t="n">
        <x:v>2.5</x:v>
      </x:c>
      <x:c r="F15" s="13" t="n">
        <x:v>0.33</x:v>
      </x:c>
      <x:c r="G15" s="13" t="n">
        <x:v>2</x:v>
      </x:c>
    </x:row>
    <x:row r="16" ht="27" customHeight="1">
      <x:c r="A16" s="9" t="str">
        <x:v>4040</x:v>
      </x:c>
      <x:c r="B16" s="9" t="str">
        <x:v>1号角码配螺丝</x:v>
      </x:c>
      <x:c r="C16" s="9" t="str">
        <x:v>压铸铝</x:v>
      </x:c>
      <x:c r="D16" s="12" t="n">
        <x:v>3</x:v>
      </x:c>
      <x:c r="E16" s="12" t="n">
        <x:v>5</x:v>
      </x:c>
      <x:c r="F16" s="12" t="n">
        <x:v>1.8</x:v>
      </x:c>
      <x:c r="G16" s="12" t="n">
        <x:v>3.7</x:v>
      </x:c>
    </x:row>
    <x:row r="17" ht="27" customHeight="1">
      <x:c r="A17" s="2" t="str">
        <x:v>4040</x:v>
      </x:c>
      <x:c r="B17" s="2" t="str">
        <x:v>2号角码only</x:v>
      </x:c>
      <x:c r="C17" s="2" t="str">
        <x:v>挤压铝</x:v>
      </x:c>
      <x:c r="D17" s="13" t="n">
        <x:v>8</x:v>
      </x:c>
      <x:c r="E17" s="13" t="n">
        <x:v>10</x:v>
      </x:c>
      <x:c r="F17" s="13" t="n">
        <x:v>4.5</x:v>
      </x:c>
      <x:c r="G17" s="13" t="n">
        <x:v>6.4</x:v>
      </x:c>
    </x:row>
    <x:row r="18" ht="27" customHeight="1">
      <x:c r="A18" s="9" t="str">
        <x:v>4040</x:v>
      </x:c>
      <x:c r="B18" s="9" t="str">
        <x:v>5号角码配顶丝</x:v>
      </x:c>
      <x:c r="C18" s="9" t="n">
        <x:v>304</x:v>
      </x:c>
      <x:c r="D18" s="12" t="n">
        <x:v>2</x:v>
      </x:c>
      <x:c r="E18" s="12" t="n">
        <x:v>4</x:v>
      </x:c>
      <x:c r="F18" s="12" t="n">
        <x:v>1.8</x:v>
      </x:c>
      <x:c r="G18" s="12" t="n">
        <x:v>3.7</x:v>
      </x:c>
    </x:row>
    <x:row r="19" ht="27" customHeight="1">
      <x:c r="A19" s="2" t="str">
        <x:v>4040</x:v>
      </x:c>
      <x:c r="B19" s="2" t="str">
        <x:v>7号角码only</x:v>
      </x:c>
      <x:c r="C19" s="2" t="str">
        <x:v>铝板</x:v>
      </x:c>
      <x:c r="D19" s="13" t="n">
        <x:v>6</x:v>
      </x:c>
      <x:c r="E19" s="13" t="n">
        <x:v>8</x:v>
      </x:c>
      <x:c r="F19" s="13" t="n">
        <x:v>4.5</x:v>
      </x:c>
      <x:c r="G19" s="13" t="n">
        <x:v>6</x:v>
      </x:c>
    </x:row>
    <x:row r="20" ht="27" customHeight="1">
      <x:c r="A20" s="9" t="str">
        <x:v>4040</x:v>
      </x:c>
      <x:c r="B20" s="9" t="str">
        <x:v>10号螺丝 M8圆头半圆头</x:v>
      </x:c>
      <x:c r="C20" s="9" t="n">
        <x:v>304</x:v>
      </x:c>
      <x:c r="D20" s="12" t="n">
        <x:v>0.5</x:v>
      </x:c>
      <x:c r="E20" s="12" t="n">
        <x:v>2.5</x:v>
      </x:c>
      <x:c r="F20" s="12" t="n">
        <x:v>0.33</x:v>
      </x:c>
      <x:c r="G20" s="12" t="n">
        <x:v>2</x:v>
      </x:c>
    </x:row>
    <x:row r="21" ht="27" customHeight="1">
      <x:c r="A21" s="2" t="str">
        <x:v>1515</x:v>
      </x:c>
      <x:c r="B21" s="2" t="str">
        <x:v>2号角码only</x:v>
      </x:c>
      <x:c r="C21" s="2" t="str">
        <x:v>挤压铝</x:v>
      </x:c>
      <x:c r="D21" s="13" t="n">
        <x:v>3</x:v>
      </x:c>
      <x:c r="E21" s="13" t="n">
        <x:v>3.5</x:v>
      </x:c>
      <x:c r="F21" s="13" t="n">
        <x:v>2.5</x:v>
      </x:c>
      <x:c r="G21" s="13" t="n">
        <x:v>3</x:v>
      </x:c>
    </x:row>
    <x:row r="22" ht="27" customHeight="1">
      <x:c r="A22" s="9" t="str">
        <x:v>1515</x:v>
      </x:c>
      <x:c r="B22" s="9" t="str">
        <x:v>7号角码only</x:v>
      </x:c>
      <x:c r="C22" s="9" t="str">
        <x:v>铝板</x:v>
      </x:c>
      <x:c r="D22" s="12" t="n">
        <x:v>3</x:v>
      </x:c>
      <x:c r="E22" s="12" t="n">
        <x:v>3.5</x:v>
      </x:c>
      <x:c r="F22" s="12" t="n">
        <x:v>2.5</x:v>
      </x:c>
      <x:c r="G22" s="12" t="n">
        <x:v>3</x:v>
      </x:c>
    </x:row>
    <x:row r="23" ht="27" customHeight="1">
      <x:c r="A23" s="2" t="str">
        <x:v>1515</x:v>
      </x:c>
      <x:c r="B23" s="2" t="str">
        <x:v>10号螺丝 M4圆头半圆头</x:v>
      </x:c>
      <x:c r="C23" s="2" t="n">
        <x:v>304</x:v>
      </x:c>
      <x:c r="D23" s="13" t="n">
        <x:v>0.5</x:v>
      </x:c>
      <x:c r="E23" s="13" t="n">
        <x:v>2.5</x:v>
      </x:c>
      <x:c r="F23" s="13" t="n">
        <x:v>0.33</x:v>
      </x:c>
      <x:c r="G23" s="13" t="n">
        <x:v>2</x:v>
      </x:c>
    </x:row>
    <x:row r="24">
      <x:c r="A24" s="2"/>
      <x:c r="B24" s="2"/>
      <x:c r="C24" s="2"/>
      <x:c r="D24" s="2"/>
      <x:c r="E24" s="2"/>
      <x:c r="F24" s="2"/>
      <x:c r="G24" s="2"/>
    </x:row>
    <x:row r="27">
      <x:c r="A27" s="16" t="str">
        <x:v>本页保留原配件记录。原批量规则为同色100个，网站已改为同一配件明细20件。</x:v>
      </x:c>
    </x:row>
    <x:row r="28">
      <x:c r="A28" s="16" t="str">
        <x:v>原M4/M6/M8圆头半圆头名称不能与网站具体螺纹/长度/头型一一匹配，不直接套用新价格。</x:v>
      </x:c>
    </x:row>
    <x:row r="29">
      <x:c r="A29" s="16" t="str">
        <x:v>4040的1号、2号、5号未列入网站当前配件配置；3号大批量定做请另询。</x:v>
      </x:c>
    </x:row>
    <x:row r="30">
      <x:c r="A30" s="16" t="str">
        <x:v>原渠道说明：单次单色半吨以上按铝价+加工费另行议价；不属于网站固定会员价格。</x:v>
      </x:c>
    </x:row>
    <x:row r="31">
      <x:c r="A31" s="16" t="str">
        <x:v>原表含切割、损耗，不含打孔攻丝斜切等加工及税运。店铺信息：上海暖橙黄信息科技有限公司。</x:v>
      </x:c>
    </x:row>
    <x:row r="32">
      <x:c r="A32" s="16" t="str">
        <x:v>来源：用户提供的《铝型材及配件价格表260325.xlsx》。当前价格见前三页。</x:v>
      </x:c>
    </x:row>
    <x:row r="35">
      <x:c r="A35" s="16" t="str">
        <x:v>原表配件识别图（保留参考；实际可选规格以当前配件价格页为准）</x:v>
      </x:c>
    </x:row>
  </x:sheetData>
  <x:pageMargins left="0.7" right="0.7" top="0.75" bottom="0.75" header="0.3" footer="0.3"/>
  <x:drawing xmlns:r="http://schemas.openxmlformats.org/officeDocument/2006/relationships" r:id="R9e5377e2677845a1"/>
</x:worksheet>
</file>